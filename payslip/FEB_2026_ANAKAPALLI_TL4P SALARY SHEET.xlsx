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ata For Account And Data Month Wise\2025-2026\Feb 2026\Dark Store\ANAKAPALLI AP\"/>
    </mc:Choice>
  </mc:AlternateContent>
  <xr:revisionPtr revIDLastSave="0" documentId="13_ncr:1_{1996DB2E-8FBB-4404-96EA-6DDB5BA0BDB9}" xr6:coauthVersionLast="47" xr6:coauthVersionMax="47" xr10:uidLastSave="{00000000-0000-0000-0000-000000000000}"/>
  <bookViews>
    <workbookView xWindow="-108" yWindow="-108" windowWidth="23256" windowHeight="12456" firstSheet="2" activeTab="3" xr2:uid="{00000000-000D-0000-FFFF-FFFF00000000}"/>
  </bookViews>
  <sheets>
    <sheet name="PIVOT TABLE" sheetId="59" state="hidden" r:id="rId1"/>
    <sheet name="Payslips " sheetId="62" state="hidden" r:id="rId2"/>
    <sheet name="Attendence" sheetId="78" r:id="rId3"/>
    <sheet name="Wage Sheet" sheetId="73" r:id="rId4"/>
    <sheet name="Pay Slips" sheetId="79" r:id="rId5"/>
    <sheet name="Invoice" sheetId="60" state="hidden" r:id="rId6"/>
    <sheet name="Misc. Invoice" sheetId="68" state="hidden" r:id="rId7"/>
    <sheet name="Left Employee" sheetId="43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2" hidden="1">Attendence!$A$3:$AO$3</definedName>
    <definedName name="_xlnm._FilterDatabase" localSheetId="7" hidden="1">'Left Employee'!#REF!</definedName>
    <definedName name="_xlnm._FilterDatabase" localSheetId="3" hidden="1">'Wage Sheet'!$A$4:$BG$21</definedName>
  </definedNames>
  <calcPr calcId="191029"/>
  <pivotCaches>
    <pivotCache cacheId="0" r:id="rId12"/>
    <pivotCache cacheId="1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51" i="43" l="1"/>
  <c r="BG51" i="43"/>
  <c r="BA51" i="43"/>
  <c r="AZ51" i="43"/>
  <c r="AY51" i="43"/>
  <c r="AW51" i="43"/>
  <c r="AV51" i="43"/>
  <c r="AU51" i="43"/>
  <c r="AS51" i="43"/>
  <c r="AR51" i="43"/>
  <c r="AP51" i="43"/>
  <c r="AO51" i="43"/>
  <c r="AN51" i="43"/>
  <c r="AM51" i="43"/>
  <c r="AL51" i="43"/>
  <c r="AK51" i="43"/>
  <c r="AJ51" i="43"/>
  <c r="AI51" i="43"/>
  <c r="AH51" i="43"/>
  <c r="AG51" i="43"/>
  <c r="AF51" i="43"/>
  <c r="AE51" i="43"/>
  <c r="AD51" i="43"/>
  <c r="AC51" i="43"/>
  <c r="AB51" i="43"/>
  <c r="V51" i="43"/>
  <c r="BI50" i="43"/>
  <c r="BG50" i="43"/>
  <c r="BA50" i="43"/>
  <c r="AZ50" i="43"/>
  <c r="AY50" i="43"/>
  <c r="AW50" i="43"/>
  <c r="AV50" i="43"/>
  <c r="AU50" i="43"/>
  <c r="AS50" i="43"/>
  <c r="AR50" i="43"/>
  <c r="AP50" i="43"/>
  <c r="AO50" i="43"/>
  <c r="AN50" i="43"/>
  <c r="AM50" i="43"/>
  <c r="AL50" i="43"/>
  <c r="AK50" i="43"/>
  <c r="AJ50" i="43"/>
  <c r="AI50" i="43"/>
  <c r="AH50" i="43"/>
  <c r="AG50" i="43"/>
  <c r="AF50" i="43"/>
  <c r="AE50" i="43"/>
  <c r="AD50" i="43"/>
  <c r="AC50" i="43"/>
  <c r="AB50" i="43"/>
  <c r="V50" i="43"/>
  <c r="BI46" i="43"/>
  <c r="BG46" i="43"/>
  <c r="BA46" i="43"/>
  <c r="AZ46" i="43"/>
  <c r="AY46" i="43"/>
  <c r="AW46" i="43"/>
  <c r="AV46" i="43"/>
  <c r="AU46" i="43"/>
  <c r="AS46" i="43"/>
  <c r="AR46" i="43"/>
  <c r="AP46" i="43"/>
  <c r="AO46" i="43"/>
  <c r="AN46" i="43"/>
  <c r="AM46" i="43"/>
  <c r="AL46" i="43"/>
  <c r="AK46" i="43"/>
  <c r="AJ46" i="43"/>
  <c r="AI46" i="43"/>
  <c r="AH46" i="43"/>
  <c r="AG46" i="43"/>
  <c r="AF46" i="43"/>
  <c r="AE46" i="43"/>
  <c r="AD46" i="43"/>
  <c r="AC46" i="43"/>
  <c r="AB46" i="43"/>
  <c r="V46" i="43"/>
  <c r="BI42" i="43"/>
  <c r="BG42" i="43"/>
  <c r="BA42" i="43"/>
  <c r="AZ42" i="43"/>
  <c r="AY42" i="43"/>
  <c r="AW42" i="43"/>
  <c r="AV42" i="43"/>
  <c r="AU42" i="43"/>
  <c r="AS42" i="43"/>
  <c r="AR42" i="43"/>
  <c r="AP42" i="43"/>
  <c r="AO42" i="43"/>
  <c r="AN42" i="43"/>
  <c r="AM42" i="43"/>
  <c r="AL42" i="43"/>
  <c r="AK42" i="43"/>
  <c r="AJ42" i="43"/>
  <c r="AI42" i="43"/>
  <c r="AH42" i="43"/>
  <c r="AG42" i="43"/>
  <c r="AF42" i="43"/>
  <c r="AE42" i="43"/>
  <c r="AD42" i="43"/>
  <c r="AC42" i="43"/>
  <c r="AB42" i="43"/>
  <c r="V42" i="43"/>
  <c r="BI38" i="43"/>
  <c r="BG38" i="43"/>
  <c r="BA38" i="43"/>
  <c r="AZ38" i="43"/>
  <c r="AY38" i="43"/>
  <c r="AW38" i="43"/>
  <c r="AV38" i="43"/>
  <c r="AU38" i="43"/>
  <c r="AS38" i="43"/>
  <c r="AR38" i="43"/>
  <c r="AP38" i="43"/>
  <c r="AO38" i="43"/>
  <c r="AN38" i="43"/>
  <c r="AM38" i="43"/>
  <c r="AL38" i="43"/>
  <c r="AK38" i="43"/>
  <c r="AJ38" i="43"/>
  <c r="AI38" i="43"/>
  <c r="AH38" i="43"/>
  <c r="AG38" i="43"/>
  <c r="AF38" i="43"/>
  <c r="AE38" i="43"/>
  <c r="AD38" i="43"/>
  <c r="AC38" i="43"/>
  <c r="AB38" i="43"/>
  <c r="V38" i="43"/>
  <c r="BI37" i="43"/>
  <c r="BG37" i="43"/>
  <c r="BA37" i="43"/>
  <c r="AZ37" i="43"/>
  <c r="AY37" i="43"/>
  <c r="AW37" i="43"/>
  <c r="AV37" i="43"/>
  <c r="AU37" i="43"/>
  <c r="AS37" i="43"/>
  <c r="AR37" i="43"/>
  <c r="AP37" i="43"/>
  <c r="AO37" i="43"/>
  <c r="AN37" i="43"/>
  <c r="AM37" i="43"/>
  <c r="AL37" i="43"/>
  <c r="AK37" i="43"/>
  <c r="AJ37" i="43"/>
  <c r="AI37" i="43"/>
  <c r="AH37" i="43"/>
  <c r="AG37" i="43"/>
  <c r="AF37" i="43"/>
  <c r="AE37" i="43"/>
  <c r="AD37" i="43"/>
  <c r="AC37" i="43"/>
  <c r="AB37" i="43"/>
  <c r="V37" i="43"/>
  <c r="BI33" i="43"/>
  <c r="BG33" i="43"/>
  <c r="BA33" i="43"/>
  <c r="AZ33" i="43"/>
  <c r="AY33" i="43"/>
  <c r="AW33" i="43"/>
  <c r="AV33" i="43"/>
  <c r="AU33" i="43"/>
  <c r="AS33" i="43"/>
  <c r="AR33" i="43"/>
  <c r="AP33" i="43"/>
  <c r="AO33" i="43"/>
  <c r="AN33" i="43"/>
  <c r="AM33" i="43"/>
  <c r="AL33" i="43"/>
  <c r="AK33" i="43"/>
  <c r="AJ33" i="43"/>
  <c r="AI33" i="43"/>
  <c r="AH33" i="43"/>
  <c r="AG33" i="43"/>
  <c r="AF33" i="43"/>
  <c r="AE33" i="43"/>
  <c r="AD33" i="43"/>
  <c r="AC33" i="43"/>
  <c r="AB33" i="43"/>
  <c r="V33" i="43"/>
  <c r="BI32" i="43"/>
  <c r="BG32" i="43"/>
  <c r="BA32" i="43"/>
  <c r="AZ32" i="43"/>
  <c r="AY32" i="43"/>
  <c r="AW32" i="43"/>
  <c r="AV32" i="43"/>
  <c r="AU32" i="43"/>
  <c r="AS32" i="43"/>
  <c r="AR32" i="43"/>
  <c r="AP32" i="43"/>
  <c r="AO32" i="43"/>
  <c r="AN32" i="43"/>
  <c r="AM32" i="43"/>
  <c r="AL32" i="43"/>
  <c r="AK32" i="43"/>
  <c r="AJ32" i="43"/>
  <c r="AI32" i="43"/>
  <c r="AH32" i="43"/>
  <c r="AG32" i="43"/>
  <c r="AF32" i="43"/>
  <c r="AE32" i="43"/>
  <c r="AD32" i="43"/>
  <c r="AC32" i="43"/>
  <c r="AB32" i="43"/>
  <c r="V32" i="43"/>
  <c r="BI31" i="43"/>
  <c r="BG31" i="43"/>
  <c r="BA31" i="43"/>
  <c r="AZ31" i="43"/>
  <c r="AY31" i="43"/>
  <c r="AW31" i="43"/>
  <c r="AV31" i="43"/>
  <c r="AU31" i="43"/>
  <c r="AS31" i="43"/>
  <c r="AR31" i="43"/>
  <c r="AP31" i="43"/>
  <c r="AO31" i="43"/>
  <c r="AN31" i="43"/>
  <c r="AM31" i="43"/>
  <c r="AL31" i="43"/>
  <c r="AK31" i="43"/>
  <c r="AJ31" i="43"/>
  <c r="AI31" i="43"/>
  <c r="AH31" i="43"/>
  <c r="AG31" i="43"/>
  <c r="AF31" i="43"/>
  <c r="AE31" i="43"/>
  <c r="AD31" i="43"/>
  <c r="AC31" i="43"/>
  <c r="AB31" i="43"/>
  <c r="V31" i="43"/>
  <c r="BI30" i="43"/>
  <c r="BG30" i="43"/>
  <c r="BA30" i="43"/>
  <c r="AZ30" i="43"/>
  <c r="AY30" i="43"/>
  <c r="AW30" i="43"/>
  <c r="AV30" i="43"/>
  <c r="AU30" i="43"/>
  <c r="AS30" i="43"/>
  <c r="AR30" i="43"/>
  <c r="AP30" i="43"/>
  <c r="AO30" i="43"/>
  <c r="AN30" i="43"/>
  <c r="AM30" i="43"/>
  <c r="AL30" i="43"/>
  <c r="AK30" i="43"/>
  <c r="AJ30" i="43"/>
  <c r="AI30" i="43"/>
  <c r="AH30" i="43"/>
  <c r="AG30" i="43"/>
  <c r="AF30" i="43"/>
  <c r="AE30" i="43"/>
  <c r="AD30" i="43"/>
  <c r="AC30" i="43"/>
  <c r="AB30" i="43"/>
  <c r="V30" i="43"/>
  <c r="BJ27" i="43"/>
  <c r="BH27" i="43"/>
  <c r="BG27" i="43"/>
  <c r="BA27" i="43"/>
  <c r="AZ27" i="43"/>
  <c r="AY27" i="43"/>
  <c r="AW27" i="43"/>
  <c r="AV27" i="43"/>
  <c r="AU27" i="43"/>
  <c r="AS27" i="43"/>
  <c r="AR27" i="43"/>
  <c r="AP27" i="43"/>
  <c r="AO27" i="43"/>
  <c r="AN27" i="43"/>
  <c r="AM27" i="43"/>
  <c r="AL27" i="43"/>
  <c r="AK27" i="43"/>
  <c r="AJ27" i="43"/>
  <c r="AI27" i="43"/>
  <c r="AH27" i="43"/>
  <c r="AG27" i="43"/>
  <c r="AF27" i="43"/>
  <c r="AE27" i="43"/>
  <c r="AD27" i="43"/>
  <c r="AC27" i="43"/>
  <c r="AB27" i="43"/>
  <c r="V27" i="43"/>
  <c r="BJ26" i="43"/>
  <c r="BG26" i="43"/>
  <c r="BA26" i="43"/>
  <c r="AZ26" i="43"/>
  <c r="AY26" i="43"/>
  <c r="AW26" i="43"/>
  <c r="AV26" i="43"/>
  <c r="AU26" i="43"/>
  <c r="AS26" i="43"/>
  <c r="AR26" i="43"/>
  <c r="AP26" i="43"/>
  <c r="AO26" i="43"/>
  <c r="AN26" i="43"/>
  <c r="AM26" i="43"/>
  <c r="AL26" i="43"/>
  <c r="AK26" i="43"/>
  <c r="AJ26" i="43"/>
  <c r="AI26" i="43"/>
  <c r="AH26" i="43"/>
  <c r="AG26" i="43"/>
  <c r="AF26" i="43"/>
  <c r="AE26" i="43"/>
  <c r="AD26" i="43"/>
  <c r="AC26" i="43"/>
  <c r="AB26" i="43"/>
  <c r="V26" i="43"/>
  <c r="BI22" i="43"/>
  <c r="BG22" i="43"/>
  <c r="BA22" i="43"/>
  <c r="AZ22" i="43"/>
  <c r="AY22" i="43"/>
  <c r="AW22" i="43"/>
  <c r="AV22" i="43"/>
  <c r="AU22" i="43"/>
  <c r="AS22" i="43"/>
  <c r="AR22" i="43"/>
  <c r="AP22" i="43"/>
  <c r="AO22" i="43"/>
  <c r="AN22" i="43"/>
  <c r="AM22" i="43"/>
  <c r="AL22" i="43"/>
  <c r="AK22" i="43"/>
  <c r="AJ22" i="43"/>
  <c r="AI22" i="43"/>
  <c r="AH22" i="43"/>
  <c r="AG22" i="43"/>
  <c r="AF22" i="43"/>
  <c r="AE22" i="43"/>
  <c r="AD22" i="43"/>
  <c r="AC22" i="43"/>
  <c r="AB22" i="43"/>
  <c r="V22" i="43"/>
  <c r="BI21" i="43"/>
  <c r="BG21" i="43"/>
  <c r="BA21" i="43"/>
  <c r="AZ21" i="43"/>
  <c r="AY21" i="43"/>
  <c r="AW21" i="43"/>
  <c r="AV21" i="43"/>
  <c r="AU21" i="43"/>
  <c r="AS21" i="43"/>
  <c r="AR21" i="43"/>
  <c r="AP21" i="43"/>
  <c r="AO21" i="43"/>
  <c r="AN21" i="43"/>
  <c r="AM21" i="43"/>
  <c r="AL21" i="43"/>
  <c r="AK21" i="43"/>
  <c r="AJ21" i="43"/>
  <c r="AI21" i="43"/>
  <c r="AH21" i="43"/>
  <c r="AG21" i="43"/>
  <c r="AF21" i="43"/>
  <c r="AE21" i="43"/>
  <c r="AD21" i="43"/>
  <c r="AC21" i="43"/>
  <c r="AB21" i="43"/>
  <c r="V21" i="43"/>
  <c r="BG17" i="43"/>
  <c r="BA17" i="43"/>
  <c r="AZ17" i="43"/>
  <c r="AY17" i="43"/>
  <c r="AW17" i="43"/>
  <c r="AV17" i="43"/>
  <c r="AU17" i="43"/>
  <c r="AS17" i="43"/>
  <c r="AR17" i="43"/>
  <c r="AP17" i="43"/>
  <c r="AO17" i="43"/>
  <c r="AN17" i="43"/>
  <c r="AM17" i="43"/>
  <c r="AL17" i="43"/>
  <c r="AK17" i="43"/>
  <c r="AJ17" i="43"/>
  <c r="AI17" i="43"/>
  <c r="AH17" i="43"/>
  <c r="AG17" i="43"/>
  <c r="AF17" i="43"/>
  <c r="AE17" i="43"/>
  <c r="AD17" i="43"/>
  <c r="AC17" i="43"/>
  <c r="AB17" i="43"/>
  <c r="V17" i="43"/>
  <c r="BG16" i="43"/>
  <c r="BA16" i="43"/>
  <c r="AZ16" i="43"/>
  <c r="AY16" i="43"/>
  <c r="AW16" i="43"/>
  <c r="AV16" i="43"/>
  <c r="AU16" i="43"/>
  <c r="AS16" i="43"/>
  <c r="AR16" i="43"/>
  <c r="AP16" i="43"/>
  <c r="AO16" i="43"/>
  <c r="AN16" i="43"/>
  <c r="AM16" i="43"/>
  <c r="AL16" i="43"/>
  <c r="AK16" i="43"/>
  <c r="AJ16" i="43"/>
  <c r="AI16" i="43"/>
  <c r="AH16" i="43"/>
  <c r="AG16" i="43"/>
  <c r="AF16" i="43"/>
  <c r="AE16" i="43"/>
  <c r="AD16" i="43"/>
  <c r="AC16" i="43"/>
  <c r="AB16" i="43"/>
  <c r="V16" i="43"/>
  <c r="BF12" i="43"/>
  <c r="AZ12" i="43"/>
  <c r="AY12" i="43"/>
  <c r="AX12" i="43"/>
  <c r="AV12" i="43"/>
  <c r="AU12" i="43"/>
  <c r="AT12" i="43"/>
  <c r="AR12" i="43"/>
  <c r="AQ12" i="43"/>
  <c r="AO12" i="43"/>
  <c r="AN12" i="43"/>
  <c r="AM12" i="43"/>
  <c r="AL12" i="43"/>
  <c r="AK12" i="43"/>
  <c r="AJ12" i="43"/>
  <c r="AI12" i="43"/>
  <c r="AH12" i="43"/>
  <c r="AG12" i="43"/>
  <c r="AF12" i="43"/>
  <c r="AE12" i="43"/>
  <c r="AD12" i="43"/>
  <c r="AC12" i="43"/>
  <c r="AB12" i="43"/>
  <c r="AA12" i="43"/>
  <c r="U12" i="43"/>
  <c r="BF9" i="43"/>
  <c r="AZ9" i="43"/>
  <c r="AY9" i="43"/>
  <c r="AX9" i="43"/>
  <c r="AV9" i="43"/>
  <c r="AU9" i="43"/>
  <c r="AT9" i="43"/>
  <c r="AS9" i="43"/>
  <c r="AR9" i="43"/>
  <c r="AQ9" i="43"/>
  <c r="AO9" i="43"/>
  <c r="AN9" i="43"/>
  <c r="AM9" i="43"/>
  <c r="AL9" i="43"/>
  <c r="AK9" i="43"/>
  <c r="AJ9" i="43"/>
  <c r="AI9" i="43"/>
  <c r="AH9" i="43"/>
  <c r="AG9" i="43"/>
  <c r="AF9" i="43"/>
  <c r="AE9" i="43"/>
  <c r="AD9" i="43"/>
  <c r="AC9" i="43"/>
  <c r="AB9" i="43"/>
  <c r="AA9" i="43"/>
  <c r="U9" i="43"/>
  <c r="BF8" i="43"/>
  <c r="AZ8" i="43"/>
  <c r="AY8" i="43"/>
  <c r="AX8" i="43"/>
  <c r="AV8" i="43"/>
  <c r="AU8" i="43"/>
  <c r="AT8" i="43"/>
  <c r="AS8" i="43"/>
  <c r="AR8" i="43"/>
  <c r="AQ8" i="43"/>
  <c r="AO8" i="43"/>
  <c r="AN8" i="43"/>
  <c r="AM8" i="43"/>
  <c r="AL8" i="43"/>
  <c r="AK8" i="43"/>
  <c r="AJ8" i="43"/>
  <c r="AI8" i="43"/>
  <c r="AH8" i="43"/>
  <c r="AG8" i="43"/>
  <c r="AF8" i="43"/>
  <c r="AE8" i="43"/>
  <c r="AD8" i="43"/>
  <c r="AC8" i="43"/>
  <c r="AB8" i="43"/>
  <c r="AA8" i="43"/>
  <c r="U8" i="43"/>
  <c r="BF7" i="43"/>
  <c r="AZ7" i="43"/>
  <c r="AY7" i="43"/>
  <c r="AX7" i="43"/>
  <c r="AV7" i="43"/>
  <c r="AU7" i="43"/>
  <c r="AT7" i="43"/>
  <c r="AS7" i="43"/>
  <c r="AR7" i="43"/>
  <c r="AQ7" i="43"/>
  <c r="AO7" i="43"/>
  <c r="AN7" i="43"/>
  <c r="AM7" i="43"/>
  <c r="AL7" i="43"/>
  <c r="AK7" i="43"/>
  <c r="AJ7" i="43"/>
  <c r="AI7" i="43"/>
  <c r="AH7" i="43"/>
  <c r="AG7" i="43"/>
  <c r="AF7" i="43"/>
  <c r="AE7" i="43"/>
  <c r="AD7" i="43"/>
  <c r="AC7" i="43"/>
  <c r="AB7" i="43"/>
  <c r="AA7" i="43"/>
  <c r="U7" i="43"/>
  <c r="BF4" i="43"/>
  <c r="AZ4" i="43"/>
  <c r="AY4" i="43"/>
  <c r="AX4" i="43"/>
  <c r="AV4" i="43"/>
  <c r="AU4" i="43"/>
  <c r="AT4" i="43"/>
  <c r="AS4" i="43"/>
  <c r="AR4" i="43"/>
  <c r="AQ4" i="43"/>
  <c r="AO4" i="43"/>
  <c r="AN4" i="43"/>
  <c r="AM4" i="43"/>
  <c r="AL4" i="43"/>
  <c r="AK4" i="43"/>
  <c r="AJ4" i="43"/>
  <c r="AI4" i="43"/>
  <c r="AH4" i="43"/>
  <c r="AG4" i="43"/>
  <c r="AF4" i="43"/>
  <c r="AE4" i="43"/>
  <c r="AD4" i="43"/>
  <c r="AC4" i="43"/>
  <c r="AB4" i="43"/>
  <c r="AA4" i="43"/>
  <c r="U4" i="43"/>
  <c r="BF3" i="43"/>
  <c r="AZ3" i="43"/>
  <c r="AY3" i="43"/>
  <c r="AX3" i="43"/>
  <c r="AV3" i="43"/>
  <c r="AU3" i="43"/>
  <c r="AT3" i="43"/>
  <c r="AS3" i="43"/>
  <c r="AR3" i="43"/>
  <c r="AQ3" i="43"/>
  <c r="AO3" i="43"/>
  <c r="AN3" i="43"/>
  <c r="AM3" i="43"/>
  <c r="AL3" i="43"/>
  <c r="AK3" i="43"/>
  <c r="AJ3" i="43"/>
  <c r="AI3" i="43"/>
  <c r="AH3" i="43"/>
  <c r="AG3" i="43"/>
  <c r="AF3" i="43"/>
  <c r="AE3" i="43"/>
  <c r="AD3" i="43"/>
  <c r="AC3" i="43"/>
  <c r="AB3" i="43"/>
  <c r="AA3" i="43"/>
  <c r="U3" i="43"/>
  <c r="G30" i="68"/>
  <c r="G27" i="68"/>
  <c r="G26" i="68"/>
  <c r="G25" i="68"/>
  <c r="G20" i="68"/>
  <c r="G31" i="60"/>
  <c r="G29" i="60"/>
  <c r="G28" i="60"/>
  <c r="G26" i="60"/>
  <c r="G25" i="60"/>
  <c r="G22" i="60"/>
  <c r="G20" i="60"/>
  <c r="D51" i="79" a="1"/>
  <c r="D51" i="79"/>
  <c r="F49" i="79"/>
  <c r="F48" i="79"/>
  <c r="D48" i="79"/>
  <c r="D47" i="79"/>
  <c r="D46" i="79"/>
  <c r="D45" i="79"/>
  <c r="F44" i="79"/>
  <c r="D44" i="79"/>
  <c r="F43" i="79"/>
  <c r="D43" i="79"/>
  <c r="F42" i="79"/>
  <c r="D42" i="79"/>
  <c r="F41" i="79"/>
  <c r="D41" i="79"/>
  <c r="F38" i="79"/>
  <c r="D38" i="79"/>
  <c r="F37" i="79"/>
  <c r="D37" i="79"/>
  <c r="F36" i="79"/>
  <c r="D36" i="79"/>
  <c r="F35" i="79"/>
  <c r="D35" i="79"/>
  <c r="F34" i="79"/>
  <c r="D22" i="79" a="1"/>
  <c r="D22" i="79"/>
  <c r="F20" i="79"/>
  <c r="F19" i="79"/>
  <c r="D19" i="79"/>
  <c r="D18" i="79"/>
  <c r="D17" i="79"/>
  <c r="D16" i="79"/>
  <c r="F15" i="79"/>
  <c r="D15" i="79"/>
  <c r="F14" i="79"/>
  <c r="D14" i="79"/>
  <c r="F13" i="79"/>
  <c r="D13" i="79"/>
  <c r="F12" i="79"/>
  <c r="D12" i="79"/>
  <c r="F9" i="79"/>
  <c r="D9" i="79"/>
  <c r="F8" i="79"/>
  <c r="D8" i="79"/>
  <c r="F7" i="79"/>
  <c r="D7" i="79"/>
  <c r="F6" i="79"/>
  <c r="D6" i="79"/>
  <c r="BF21" i="73"/>
  <c r="BE21" i="73"/>
  <c r="BD21" i="73"/>
  <c r="AY21" i="73"/>
  <c r="AX21" i="73"/>
  <c r="AW21" i="73"/>
  <c r="AV21" i="73"/>
  <c r="AU21" i="73"/>
  <c r="AT21" i="73"/>
  <c r="AS21" i="73"/>
  <c r="AR21" i="73"/>
  <c r="AQ21" i="73"/>
  <c r="AP21" i="73"/>
  <c r="AO21" i="73"/>
  <c r="AN21" i="73"/>
  <c r="AM21" i="73"/>
  <c r="AL21" i="73"/>
  <c r="AK21" i="73"/>
  <c r="AJ21" i="73"/>
  <c r="AI21" i="73"/>
  <c r="AH21" i="73"/>
  <c r="AG21" i="73"/>
  <c r="AF21" i="73"/>
  <c r="AE21" i="73"/>
  <c r="AD21" i="73"/>
  <c r="AC21" i="73"/>
  <c r="AB21" i="73"/>
  <c r="AA21" i="73"/>
  <c r="Z21" i="73"/>
  <c r="Y21" i="73"/>
  <c r="X21" i="73"/>
  <c r="W21" i="73"/>
  <c r="V21" i="73"/>
  <c r="U21" i="73"/>
  <c r="T21" i="73"/>
  <c r="S21" i="73"/>
  <c r="R21" i="73"/>
  <c r="Q21" i="73"/>
  <c r="P21" i="73"/>
  <c r="BF19" i="73"/>
  <c r="BD19" i="73"/>
  <c r="AY19" i="73"/>
  <c r="AX19" i="73"/>
  <c r="AW19" i="73"/>
  <c r="AU19" i="73"/>
  <c r="AT19" i="73"/>
  <c r="AS19" i="73"/>
  <c r="AQ19" i="73"/>
  <c r="AP19" i="73"/>
  <c r="AN19" i="73"/>
  <c r="AM19" i="73"/>
  <c r="AL19" i="73"/>
  <c r="AK19" i="73"/>
  <c r="AJ19" i="73"/>
  <c r="AI19" i="73"/>
  <c r="AH19" i="73"/>
  <c r="AG19" i="73"/>
  <c r="AF19" i="73"/>
  <c r="AE19" i="73"/>
  <c r="AD19" i="73"/>
  <c r="AC19" i="73"/>
  <c r="AB19" i="73"/>
  <c r="AA19" i="73"/>
  <c r="U19" i="73"/>
  <c r="BF18" i="73"/>
  <c r="BD18" i="73"/>
  <c r="AY18" i="73"/>
  <c r="AX18" i="73"/>
  <c r="AW18" i="73"/>
  <c r="AU18" i="73"/>
  <c r="AT18" i="73"/>
  <c r="AS18" i="73"/>
  <c r="AQ18" i="73"/>
  <c r="AP18" i="73"/>
  <c r="AN18" i="73"/>
  <c r="AM18" i="73"/>
  <c r="AL18" i="73"/>
  <c r="AK18" i="73"/>
  <c r="AJ18" i="73"/>
  <c r="AI18" i="73"/>
  <c r="AH18" i="73"/>
  <c r="AG18" i="73"/>
  <c r="AF18" i="73"/>
  <c r="AE18" i="73"/>
  <c r="AD18" i="73"/>
  <c r="AC18" i="73"/>
  <c r="AB18" i="73"/>
  <c r="AA18" i="73"/>
  <c r="U18" i="73"/>
  <c r="BF17" i="73"/>
  <c r="BD17" i="73"/>
  <c r="AY17" i="73"/>
  <c r="AX17" i="73"/>
  <c r="AW17" i="73"/>
  <c r="AU17" i="73"/>
  <c r="AT17" i="73"/>
  <c r="AS17" i="73"/>
  <c r="AQ17" i="73"/>
  <c r="AP17" i="73"/>
  <c r="AN17" i="73"/>
  <c r="AM17" i="73"/>
  <c r="AL17" i="73"/>
  <c r="AK17" i="73"/>
  <c r="AJ17" i="73"/>
  <c r="AI17" i="73"/>
  <c r="AH17" i="73"/>
  <c r="AG17" i="73"/>
  <c r="AF17" i="73"/>
  <c r="AE17" i="73"/>
  <c r="AD17" i="73"/>
  <c r="AC17" i="73"/>
  <c r="AB17" i="73"/>
  <c r="AA17" i="73"/>
  <c r="U17" i="73"/>
  <c r="BF16" i="73"/>
  <c r="BD16" i="73"/>
  <c r="AY16" i="73"/>
  <c r="AX16" i="73"/>
  <c r="AW16" i="73"/>
  <c r="AU16" i="73"/>
  <c r="AT16" i="73"/>
  <c r="AS16" i="73"/>
  <c r="AQ16" i="73"/>
  <c r="AP16" i="73"/>
  <c r="AN16" i="73"/>
  <c r="AM16" i="73"/>
  <c r="AL16" i="73"/>
  <c r="AK16" i="73"/>
  <c r="AJ16" i="73"/>
  <c r="AI16" i="73"/>
  <c r="AH16" i="73"/>
  <c r="AG16" i="73"/>
  <c r="AF16" i="73"/>
  <c r="AE16" i="73"/>
  <c r="AD16" i="73"/>
  <c r="AC16" i="73"/>
  <c r="AB16" i="73"/>
  <c r="AA16" i="73"/>
  <c r="U16" i="73"/>
  <c r="BF15" i="73"/>
  <c r="BD15" i="73"/>
  <c r="AY15" i="73"/>
  <c r="AX15" i="73"/>
  <c r="AW15" i="73"/>
  <c r="AU15" i="73"/>
  <c r="AT15" i="73"/>
  <c r="AS15" i="73"/>
  <c r="AQ15" i="73"/>
  <c r="AP15" i="73"/>
  <c r="AN15" i="73"/>
  <c r="AM15" i="73"/>
  <c r="AL15" i="73"/>
  <c r="AK15" i="73"/>
  <c r="AJ15" i="73"/>
  <c r="AI15" i="73"/>
  <c r="AH15" i="73"/>
  <c r="AG15" i="73"/>
  <c r="AF15" i="73"/>
  <c r="AE15" i="73"/>
  <c r="AD15" i="73"/>
  <c r="AC15" i="73"/>
  <c r="AB15" i="73"/>
  <c r="AA15" i="73"/>
  <c r="U15" i="73"/>
  <c r="BF14" i="73"/>
  <c r="BD14" i="73"/>
  <c r="AY14" i="73"/>
  <c r="AX14" i="73"/>
  <c r="AW14" i="73"/>
  <c r="AU14" i="73"/>
  <c r="AT14" i="73"/>
  <c r="AS14" i="73"/>
  <c r="AQ14" i="73"/>
  <c r="AP14" i="73"/>
  <c r="AN14" i="73"/>
  <c r="AM14" i="73"/>
  <c r="AL14" i="73"/>
  <c r="AK14" i="73"/>
  <c r="AJ14" i="73"/>
  <c r="AI14" i="73"/>
  <c r="AH14" i="73"/>
  <c r="AG14" i="73"/>
  <c r="AF14" i="73"/>
  <c r="AE14" i="73"/>
  <c r="AD14" i="73"/>
  <c r="AC14" i="73"/>
  <c r="AB14" i="73"/>
  <c r="AA14" i="73"/>
  <c r="U14" i="73"/>
  <c r="BF13" i="73"/>
  <c r="BD13" i="73"/>
  <c r="AY13" i="73"/>
  <c r="AX13" i="73"/>
  <c r="AW13" i="73"/>
  <c r="AU13" i="73"/>
  <c r="AT13" i="73"/>
  <c r="AS13" i="73"/>
  <c r="AQ13" i="73"/>
  <c r="AP13" i="73"/>
  <c r="AN13" i="73"/>
  <c r="AM13" i="73"/>
  <c r="AL13" i="73"/>
  <c r="AK13" i="73"/>
  <c r="AJ13" i="73"/>
  <c r="AI13" i="73"/>
  <c r="AH13" i="73"/>
  <c r="AG13" i="73"/>
  <c r="AF13" i="73"/>
  <c r="AE13" i="73"/>
  <c r="AD13" i="73"/>
  <c r="AC13" i="73"/>
  <c r="AB13" i="73"/>
  <c r="AA13" i="73"/>
  <c r="U13" i="73"/>
  <c r="BF12" i="73"/>
  <c r="BD12" i="73"/>
  <c r="AY12" i="73"/>
  <c r="AX12" i="73"/>
  <c r="AW12" i="73"/>
  <c r="AU12" i="73"/>
  <c r="AT12" i="73"/>
  <c r="AS12" i="73"/>
  <c r="AQ12" i="73"/>
  <c r="AP12" i="73"/>
  <c r="AN12" i="73"/>
  <c r="AM12" i="73"/>
  <c r="AL12" i="73"/>
  <c r="AK12" i="73"/>
  <c r="AJ12" i="73"/>
  <c r="AI12" i="73"/>
  <c r="AH12" i="73"/>
  <c r="AG12" i="73"/>
  <c r="AF12" i="73"/>
  <c r="AE12" i="73"/>
  <c r="AD12" i="73"/>
  <c r="AC12" i="73"/>
  <c r="AB12" i="73"/>
  <c r="AA12" i="73"/>
  <c r="U12" i="73"/>
  <c r="BF11" i="73"/>
  <c r="BD11" i="73"/>
  <c r="AY11" i="73"/>
  <c r="AX11" i="73"/>
  <c r="AW11" i="73"/>
  <c r="AU11" i="73"/>
  <c r="AT11" i="73"/>
  <c r="AS11" i="73"/>
  <c r="AQ11" i="73"/>
  <c r="AP11" i="73"/>
  <c r="AN11" i="73"/>
  <c r="AM11" i="73"/>
  <c r="AL11" i="73"/>
  <c r="AK11" i="73"/>
  <c r="AJ11" i="73"/>
  <c r="AI11" i="73"/>
  <c r="AH11" i="73"/>
  <c r="AG11" i="73"/>
  <c r="AF11" i="73"/>
  <c r="AE11" i="73"/>
  <c r="AD11" i="73"/>
  <c r="AC11" i="73"/>
  <c r="AB11" i="73"/>
  <c r="AA11" i="73"/>
  <c r="U11" i="73"/>
  <c r="BF10" i="73"/>
  <c r="BD10" i="73"/>
  <c r="AY10" i="73"/>
  <c r="AX10" i="73"/>
  <c r="AW10" i="73"/>
  <c r="AU10" i="73"/>
  <c r="AT10" i="73"/>
  <c r="AS10" i="73"/>
  <c r="AQ10" i="73"/>
  <c r="AP10" i="73"/>
  <c r="AN10" i="73"/>
  <c r="AM10" i="73"/>
  <c r="AL10" i="73"/>
  <c r="AK10" i="73"/>
  <c r="AJ10" i="73"/>
  <c r="AI10" i="73"/>
  <c r="AH10" i="73"/>
  <c r="AG10" i="73"/>
  <c r="AF10" i="73"/>
  <c r="AE10" i="73"/>
  <c r="AD10" i="73"/>
  <c r="AC10" i="73"/>
  <c r="AB10" i="73"/>
  <c r="AA10" i="73"/>
  <c r="U10" i="73"/>
  <c r="BF9" i="73"/>
  <c r="BD9" i="73"/>
  <c r="AY9" i="73"/>
  <c r="AX9" i="73"/>
  <c r="AW9" i="73"/>
  <c r="AU9" i="73"/>
  <c r="AT9" i="73"/>
  <c r="AS9" i="73"/>
  <c r="AQ9" i="73"/>
  <c r="AP9" i="73"/>
  <c r="AN9" i="73"/>
  <c r="AM9" i="73"/>
  <c r="AL9" i="73"/>
  <c r="AK9" i="73"/>
  <c r="AJ9" i="73"/>
  <c r="AI9" i="73"/>
  <c r="AH9" i="73"/>
  <c r="AG9" i="73"/>
  <c r="AF9" i="73"/>
  <c r="AE9" i="73"/>
  <c r="AD9" i="73"/>
  <c r="AC9" i="73"/>
  <c r="AB9" i="73"/>
  <c r="AA9" i="73"/>
  <c r="U9" i="73"/>
  <c r="BF8" i="73"/>
  <c r="BD8" i="73"/>
  <c r="AY8" i="73"/>
  <c r="AX8" i="73"/>
  <c r="AW8" i="73"/>
  <c r="AU8" i="73"/>
  <c r="AT8" i="73"/>
  <c r="AS8" i="73"/>
  <c r="AQ8" i="73"/>
  <c r="AP8" i="73"/>
  <c r="AN8" i="73"/>
  <c r="AM8" i="73"/>
  <c r="AL8" i="73"/>
  <c r="AK8" i="73"/>
  <c r="AJ8" i="73"/>
  <c r="AI8" i="73"/>
  <c r="AH8" i="73"/>
  <c r="AG8" i="73"/>
  <c r="AF8" i="73"/>
  <c r="AE8" i="73"/>
  <c r="AD8" i="73"/>
  <c r="AC8" i="73"/>
  <c r="AB8" i="73"/>
  <c r="AA8" i="73"/>
  <c r="U8" i="73"/>
  <c r="BF7" i="73"/>
  <c r="BD7" i="73"/>
  <c r="AY7" i="73"/>
  <c r="AX7" i="73"/>
  <c r="AW7" i="73"/>
  <c r="AU7" i="73"/>
  <c r="AT7" i="73"/>
  <c r="AS7" i="73"/>
  <c r="AQ7" i="73"/>
  <c r="AP7" i="73"/>
  <c r="AN7" i="73"/>
  <c r="AM7" i="73"/>
  <c r="AL7" i="73"/>
  <c r="AK7" i="73"/>
  <c r="AJ7" i="73"/>
  <c r="AI7" i="73"/>
  <c r="AH7" i="73"/>
  <c r="AG7" i="73"/>
  <c r="AF7" i="73"/>
  <c r="AE7" i="73"/>
  <c r="AD7" i="73"/>
  <c r="AC7" i="73"/>
  <c r="AB7" i="73"/>
  <c r="AA7" i="73"/>
  <c r="U7" i="73"/>
  <c r="BF6" i="73"/>
  <c r="BD6" i="73"/>
  <c r="AY6" i="73"/>
  <c r="AX6" i="73"/>
  <c r="AW6" i="73"/>
  <c r="AU6" i="73"/>
  <c r="AT6" i="73"/>
  <c r="AS6" i="73"/>
  <c r="AQ6" i="73"/>
  <c r="AP6" i="73"/>
  <c r="AN6" i="73"/>
  <c r="AM6" i="73"/>
  <c r="AL6" i="73"/>
  <c r="AK6" i="73"/>
  <c r="AJ6" i="73"/>
  <c r="AI6" i="73"/>
  <c r="AH6" i="73"/>
  <c r="AG6" i="73"/>
  <c r="AF6" i="73"/>
  <c r="AE6" i="73"/>
  <c r="AD6" i="73"/>
  <c r="AC6" i="73"/>
  <c r="AB6" i="73"/>
  <c r="AA6" i="73"/>
  <c r="U6" i="73"/>
  <c r="BF5" i="73"/>
  <c r="BD5" i="73"/>
  <c r="AY5" i="73"/>
  <c r="AX5" i="73"/>
  <c r="AW5" i="73"/>
  <c r="AU5" i="73"/>
  <c r="AT5" i="73"/>
  <c r="AS5" i="73"/>
  <c r="AQ5" i="73"/>
  <c r="AP5" i="73"/>
  <c r="AN5" i="73"/>
  <c r="AM5" i="73"/>
  <c r="AL5" i="73"/>
  <c r="AK5" i="73"/>
  <c r="AJ5" i="73"/>
  <c r="AI5" i="73"/>
  <c r="AH5" i="73"/>
  <c r="AG5" i="73"/>
  <c r="AF5" i="73"/>
  <c r="AE5" i="73"/>
  <c r="AD5" i="73"/>
  <c r="AC5" i="73"/>
  <c r="AB5" i="73"/>
  <c r="AA5" i="73"/>
  <c r="U5" i="73"/>
  <c r="AN19" i="78"/>
  <c r="AM19" i="78"/>
  <c r="AL19" i="78"/>
  <c r="AK19" i="78"/>
  <c r="AJ19" i="78"/>
  <c r="AI19" i="78"/>
  <c r="AN18" i="78"/>
  <c r="AM18" i="78"/>
  <c r="AL18" i="78"/>
  <c r="AK18" i="78"/>
  <c r="AJ18" i="78"/>
  <c r="AI18" i="78"/>
  <c r="AN17" i="78"/>
  <c r="AM17" i="78"/>
  <c r="AL17" i="78"/>
  <c r="AK17" i="78"/>
  <c r="AJ17" i="78"/>
  <c r="AI17" i="78"/>
  <c r="AN16" i="78"/>
  <c r="AM16" i="78"/>
  <c r="AL16" i="78"/>
  <c r="AK16" i="78"/>
  <c r="AJ16" i="78"/>
  <c r="AI16" i="78"/>
  <c r="AN15" i="78"/>
  <c r="AM15" i="78"/>
  <c r="AL15" i="78"/>
  <c r="AK15" i="78"/>
  <c r="AJ15" i="78"/>
  <c r="AI15" i="78"/>
  <c r="AN14" i="78"/>
  <c r="AM14" i="78"/>
  <c r="AL14" i="78"/>
  <c r="AK14" i="78"/>
  <c r="AJ14" i="78"/>
  <c r="AI14" i="78"/>
  <c r="AN13" i="78"/>
  <c r="AM13" i="78"/>
  <c r="AL13" i="78"/>
  <c r="AK13" i="78"/>
  <c r="AJ13" i="78"/>
  <c r="AI13" i="78"/>
  <c r="AN12" i="78"/>
  <c r="AM12" i="78"/>
  <c r="AL12" i="78"/>
  <c r="AK12" i="78"/>
  <c r="AJ12" i="78"/>
  <c r="AI12" i="78"/>
  <c r="AN11" i="78"/>
  <c r="AM11" i="78"/>
  <c r="AL11" i="78"/>
  <c r="AK11" i="78"/>
  <c r="AJ11" i="78"/>
  <c r="AI11" i="78"/>
  <c r="AN10" i="78"/>
  <c r="AM10" i="78"/>
  <c r="AL10" i="78"/>
  <c r="AK10" i="78"/>
  <c r="AJ10" i="78"/>
  <c r="AI10" i="78"/>
  <c r="AN9" i="78"/>
  <c r="AM9" i="78"/>
  <c r="AL9" i="78"/>
  <c r="AK9" i="78"/>
  <c r="AJ9" i="78"/>
  <c r="AI9" i="78"/>
  <c r="AN8" i="78"/>
  <c r="AM8" i="78"/>
  <c r="AL8" i="78"/>
  <c r="AK8" i="78"/>
  <c r="AJ8" i="78"/>
  <c r="AI8" i="78"/>
  <c r="AN7" i="78"/>
  <c r="AM7" i="78"/>
  <c r="AL7" i="78"/>
  <c r="AK7" i="78"/>
  <c r="AJ7" i="78"/>
  <c r="AI7" i="78"/>
  <c r="AN6" i="78"/>
  <c r="AM6" i="78"/>
  <c r="AL6" i="78"/>
  <c r="AK6" i="78"/>
  <c r="AJ6" i="78"/>
  <c r="AI6" i="78"/>
  <c r="AN5" i="78"/>
  <c r="AM5" i="78"/>
  <c r="AL5" i="78"/>
  <c r="AK5" i="78"/>
  <c r="AJ5" i="78"/>
  <c r="AI5" i="78"/>
  <c r="AN4" i="78"/>
  <c r="AM4" i="78"/>
  <c r="AL4" i="78"/>
  <c r="AK4" i="78"/>
  <c r="AJ4" i="78"/>
  <c r="AI4" i="78"/>
  <c r="AH3" i="78"/>
  <c r="AG3" i="78"/>
  <c r="AF3" i="78"/>
  <c r="AE3" i="78"/>
  <c r="AD3" i="78"/>
  <c r="AC3" i="78"/>
  <c r="AB3" i="78"/>
  <c r="AA3" i="78"/>
  <c r="Z3" i="78"/>
  <c r="Y3" i="78"/>
  <c r="X3" i="78"/>
  <c r="W3" i="78"/>
  <c r="V3" i="78"/>
  <c r="U3" i="78"/>
  <c r="T3" i="78"/>
  <c r="S3" i="78"/>
  <c r="R3" i="78"/>
  <c r="Q3" i="78"/>
  <c r="P3" i="78"/>
  <c r="O3" i="78"/>
  <c r="N3" i="78"/>
  <c r="M3" i="78"/>
  <c r="L3" i="78"/>
  <c r="K3" i="78"/>
  <c r="J3" i="78"/>
  <c r="I3" i="78"/>
  <c r="H3" i="78"/>
  <c r="G3" i="78"/>
  <c r="AH2" i="78"/>
  <c r="AG2" i="78"/>
  <c r="AF2" i="78"/>
  <c r="AE2" i="78"/>
  <c r="AD2" i="78"/>
  <c r="AC2" i="78"/>
  <c r="AB2" i="78"/>
  <c r="AA2" i="78"/>
  <c r="Z2" i="78"/>
  <c r="Y2" i="78"/>
  <c r="X2" i="78"/>
  <c r="W2" i="78"/>
  <c r="V2" i="78"/>
  <c r="U2" i="78"/>
  <c r="T2" i="78"/>
  <c r="S2" i="78"/>
  <c r="R2" i="78"/>
  <c r="Q2" i="78"/>
  <c r="P2" i="78"/>
  <c r="O2" i="78"/>
  <c r="N2" i="78"/>
  <c r="M2" i="78"/>
  <c r="L2" i="78"/>
  <c r="K2" i="78"/>
  <c r="J2" i="78"/>
  <c r="I2" i="78"/>
  <c r="H2" i="78"/>
  <c r="G2" i="78"/>
  <c r="AE15" i="62"/>
  <c r="AD15" i="62"/>
  <c r="AC15" i="62"/>
  <c r="AB15" i="62"/>
  <c r="Z15" i="62"/>
  <c r="Y15" i="62"/>
  <c r="X15" i="62"/>
  <c r="W15" i="62"/>
  <c r="V15" i="62"/>
  <c r="U15" i="62"/>
  <c r="T15" i="62"/>
  <c r="S15" i="62"/>
  <c r="R15" i="62"/>
  <c r="Q15" i="62"/>
  <c r="P15" i="62"/>
  <c r="O15" i="62"/>
  <c r="N15" i="62"/>
  <c r="M15" i="62"/>
  <c r="L15" i="62"/>
  <c r="K15" i="62"/>
  <c r="J15" i="62"/>
  <c r="H15" i="62"/>
  <c r="B15" i="62"/>
  <c r="A15" i="62"/>
  <c r="AE14" i="62"/>
  <c r="AD14" i="62"/>
  <c r="AC14" i="62"/>
  <c r="AB14" i="62"/>
  <c r="Z14" i="62"/>
  <c r="Y14" i="62"/>
  <c r="X14" i="62"/>
  <c r="W14" i="62"/>
  <c r="V14" i="62"/>
  <c r="U14" i="62"/>
  <c r="T14" i="62"/>
  <c r="S14" i="62"/>
  <c r="R14" i="62"/>
  <c r="Q14" i="62"/>
  <c r="P14" i="62"/>
  <c r="O14" i="62"/>
  <c r="N14" i="62"/>
  <c r="M14" i="62"/>
  <c r="L14" i="62"/>
  <c r="K14" i="62"/>
  <c r="J14" i="62"/>
  <c r="H14" i="62"/>
  <c r="B14" i="62"/>
  <c r="A14" i="62"/>
  <c r="AE13" i="62"/>
  <c r="AD13" i="62"/>
  <c r="AC13" i="62"/>
  <c r="AB13" i="62"/>
  <c r="Z13" i="62"/>
  <c r="Y13" i="62"/>
  <c r="X13" i="62"/>
  <c r="W13" i="62"/>
  <c r="V13" i="62"/>
  <c r="U13" i="62"/>
  <c r="T13" i="62"/>
  <c r="S13" i="62"/>
  <c r="R13" i="62"/>
  <c r="Q13" i="62"/>
  <c r="P13" i="62"/>
  <c r="O13" i="62"/>
  <c r="N13" i="62"/>
  <c r="M13" i="62"/>
  <c r="L13" i="62"/>
  <c r="K13" i="62"/>
  <c r="J13" i="62"/>
  <c r="H13" i="62"/>
  <c r="B13" i="62"/>
  <c r="A13" i="62"/>
  <c r="AE12" i="62"/>
  <c r="AD12" i="62"/>
  <c r="AC12" i="62"/>
  <c r="AB12" i="62"/>
  <c r="Z12" i="62"/>
  <c r="Y12" i="62"/>
  <c r="X12" i="62"/>
  <c r="W12" i="62"/>
  <c r="V12" i="62"/>
  <c r="U12" i="62"/>
  <c r="T12" i="62"/>
  <c r="S12" i="62"/>
  <c r="R12" i="62"/>
  <c r="Q12" i="62"/>
  <c r="P12" i="62"/>
  <c r="O12" i="62"/>
  <c r="N12" i="62"/>
  <c r="M12" i="62"/>
  <c r="L12" i="62"/>
  <c r="K12" i="62"/>
  <c r="J12" i="62"/>
  <c r="H12" i="62"/>
  <c r="B12" i="62"/>
  <c r="A12" i="62"/>
  <c r="AE11" i="62"/>
  <c r="AD11" i="62"/>
  <c r="AC11" i="62"/>
  <c r="AB11" i="62"/>
  <c r="Z11" i="62"/>
  <c r="Y11" i="62"/>
  <c r="X11" i="62"/>
  <c r="W11" i="62"/>
  <c r="V11" i="62"/>
  <c r="U11" i="62"/>
  <c r="T11" i="62"/>
  <c r="S11" i="62"/>
  <c r="R11" i="62"/>
  <c r="Q11" i="62"/>
  <c r="P11" i="62"/>
  <c r="O11" i="62"/>
  <c r="N11" i="62"/>
  <c r="M11" i="62"/>
  <c r="L11" i="62"/>
  <c r="K11" i="62"/>
  <c r="J11" i="62"/>
  <c r="H11" i="62"/>
  <c r="B11" i="62"/>
  <c r="A11" i="62"/>
  <c r="AE10" i="62"/>
  <c r="AD10" i="62"/>
  <c r="AC10" i="62"/>
  <c r="AB10" i="62"/>
  <c r="Z10" i="62"/>
  <c r="Y10" i="62"/>
  <c r="X10" i="62"/>
  <c r="W10" i="62"/>
  <c r="V10" i="62"/>
  <c r="U10" i="62"/>
  <c r="T10" i="62"/>
  <c r="S10" i="62"/>
  <c r="R10" i="62"/>
  <c r="Q10" i="62"/>
  <c r="P10" i="62"/>
  <c r="O10" i="62"/>
  <c r="N10" i="62"/>
  <c r="M10" i="62"/>
  <c r="L10" i="62"/>
  <c r="K10" i="62"/>
  <c r="J10" i="62"/>
  <c r="H10" i="62"/>
  <c r="B10" i="62"/>
  <c r="A10" i="62"/>
  <c r="AE9" i="62"/>
  <c r="AD9" i="62"/>
  <c r="AC9" i="62"/>
  <c r="AB9" i="62"/>
  <c r="Z9" i="62"/>
  <c r="Y9" i="62"/>
  <c r="X9" i="62"/>
  <c r="W9" i="62"/>
  <c r="V9" i="62"/>
  <c r="U9" i="62"/>
  <c r="T9" i="62"/>
  <c r="S9" i="62"/>
  <c r="R9" i="62"/>
  <c r="Q9" i="62"/>
  <c r="P9" i="62"/>
  <c r="O9" i="62"/>
  <c r="N9" i="62"/>
  <c r="M9" i="62"/>
  <c r="L9" i="62"/>
  <c r="K9" i="62"/>
  <c r="J9" i="62"/>
  <c r="H9" i="62"/>
  <c r="B9" i="62"/>
  <c r="A9" i="62"/>
  <c r="AE8" i="62"/>
  <c r="AD8" i="62"/>
  <c r="AC8" i="62"/>
  <c r="AB8" i="62"/>
  <c r="Z8" i="62"/>
  <c r="Y8" i="62"/>
  <c r="X8" i="62"/>
  <c r="W8" i="62"/>
  <c r="V8" i="62"/>
  <c r="U8" i="62"/>
  <c r="T8" i="62"/>
  <c r="S8" i="62"/>
  <c r="R8" i="62"/>
  <c r="Q8" i="62"/>
  <c r="P8" i="62"/>
  <c r="O8" i="62"/>
  <c r="N8" i="62"/>
  <c r="M8" i="62"/>
  <c r="L8" i="62"/>
  <c r="K8" i="62"/>
  <c r="J8" i="62"/>
  <c r="H8" i="62"/>
  <c r="B8" i="62"/>
  <c r="A8" i="62"/>
  <c r="AE7" i="62"/>
  <c r="AD7" i="62"/>
  <c r="AC7" i="62"/>
  <c r="AB7" i="62"/>
  <c r="Z7" i="62"/>
  <c r="Y7" i="62"/>
  <c r="X7" i="62"/>
  <c r="W7" i="62"/>
  <c r="V7" i="62"/>
  <c r="U7" i="62"/>
  <c r="T7" i="62"/>
  <c r="S7" i="62"/>
  <c r="R7" i="62"/>
  <c r="Q7" i="62"/>
  <c r="P7" i="62"/>
  <c r="O7" i="62"/>
  <c r="N7" i="62"/>
  <c r="M7" i="62"/>
  <c r="L7" i="62"/>
  <c r="K7" i="62"/>
  <c r="J7" i="62"/>
  <c r="H7" i="62"/>
  <c r="B7" i="62"/>
  <c r="A7" i="62"/>
  <c r="AE6" i="62"/>
  <c r="AD6" i="62"/>
  <c r="AC6" i="62"/>
  <c r="AB6" i="62"/>
  <c r="Z6" i="62"/>
  <c r="Y6" i="62"/>
  <c r="X6" i="62"/>
  <c r="W6" i="62"/>
  <c r="V6" i="62"/>
  <c r="U6" i="62"/>
  <c r="T6" i="62"/>
  <c r="S6" i="62"/>
  <c r="R6" i="62"/>
  <c r="Q6" i="62"/>
  <c r="P6" i="62"/>
  <c r="O6" i="62"/>
  <c r="N6" i="62"/>
  <c r="M6" i="62"/>
  <c r="L6" i="62"/>
  <c r="K6" i="62"/>
  <c r="J6" i="62"/>
  <c r="H6" i="62"/>
  <c r="B6" i="62"/>
  <c r="A6" i="62"/>
  <c r="AE5" i="62"/>
  <c r="AD5" i="62"/>
  <c r="AC5" i="62"/>
  <c r="AB5" i="62"/>
  <c r="Z5" i="62"/>
  <c r="Y5" i="62"/>
  <c r="X5" i="62"/>
  <c r="W5" i="62"/>
  <c r="V5" i="62"/>
  <c r="U5" i="62"/>
  <c r="T5" i="62"/>
  <c r="S5" i="62"/>
  <c r="R5" i="62"/>
  <c r="Q5" i="62"/>
  <c r="P5" i="62"/>
  <c r="O5" i="62"/>
  <c r="N5" i="62"/>
  <c r="M5" i="62"/>
  <c r="L5" i="62"/>
  <c r="K5" i="62"/>
  <c r="J5" i="62"/>
  <c r="H5" i="62"/>
  <c r="B5" i="62"/>
  <c r="A5" i="62"/>
  <c r="AE4" i="62"/>
  <c r="AD4" i="62"/>
  <c r="AC4" i="62"/>
  <c r="AB4" i="62"/>
  <c r="Z4" i="62"/>
  <c r="Y4" i="62"/>
  <c r="X4" i="62"/>
  <c r="W4" i="62"/>
  <c r="V4" i="62"/>
  <c r="U4" i="62"/>
  <c r="T4" i="62"/>
  <c r="S4" i="62"/>
  <c r="R4" i="62"/>
  <c r="Q4" i="62"/>
  <c r="P4" i="62"/>
  <c r="O4" i="62"/>
  <c r="N4" i="62"/>
  <c r="M4" i="62"/>
  <c r="L4" i="62"/>
  <c r="K4" i="62"/>
  <c r="J4" i="62"/>
  <c r="H4" i="62"/>
  <c r="B4" i="62"/>
  <c r="A4" i="62"/>
  <c r="AE3" i="62"/>
  <c r="AD3" i="62"/>
  <c r="AC3" i="62"/>
  <c r="AB3" i="62"/>
  <c r="Z3" i="62"/>
  <c r="Y3" i="62"/>
  <c r="X3" i="62"/>
  <c r="W3" i="62"/>
  <c r="V3" i="62"/>
  <c r="U3" i="62"/>
  <c r="T3" i="62"/>
  <c r="S3" i="62"/>
  <c r="R3" i="62"/>
  <c r="Q3" i="62"/>
  <c r="P3" i="62"/>
  <c r="O3" i="62"/>
  <c r="N3" i="62"/>
  <c r="M3" i="62"/>
  <c r="L3" i="62"/>
  <c r="K3" i="62"/>
  <c r="J3" i="62"/>
  <c r="H3" i="62"/>
  <c r="B3" i="62"/>
  <c r="A3" i="62"/>
  <c r="AE2" i="62"/>
  <c r="AD2" i="62"/>
  <c r="AC2" i="62"/>
  <c r="AB2" i="62"/>
  <c r="Z2" i="62"/>
  <c r="Y2" i="62"/>
  <c r="X2" i="62"/>
  <c r="W2" i="62"/>
  <c r="V2" i="62"/>
  <c r="U2" i="62"/>
  <c r="T2" i="62"/>
  <c r="S2" i="62"/>
  <c r="R2" i="62"/>
  <c r="Q2" i="62"/>
  <c r="P2" i="62"/>
  <c r="O2" i="62"/>
  <c r="N2" i="62"/>
  <c r="M2" i="62"/>
  <c r="L2" i="62"/>
  <c r="K2" i="62"/>
  <c r="J2" i="62"/>
  <c r="H2" i="62"/>
  <c r="B2" i="62"/>
  <c r="A2" i="62"/>
  <c r="E15" i="59"/>
  <c r="E8" i="5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<sst xmlns="http://schemas.openxmlformats.org/spreadsheetml/2006/main" count="2043" uniqueCount="560">
  <si>
    <t>Row Labels</t>
  </si>
  <si>
    <t>Sum of No.Of.Working Days</t>
  </si>
  <si>
    <t>Sum of EXTRA DAYS (Holiday)</t>
  </si>
  <si>
    <t>Sum of CTC</t>
  </si>
  <si>
    <t>PICKER / PACKER</t>
  </si>
  <si>
    <t>SUPERVISOR</t>
  </si>
  <si>
    <t>Grand Total</t>
  </si>
  <si>
    <t>SNO</t>
  </si>
  <si>
    <t>ID NO.</t>
  </si>
  <si>
    <t>BANK ACCOUNT NUMBER</t>
  </si>
  <si>
    <t>MODE OF PAYMENT</t>
  </si>
  <si>
    <t>PF NO</t>
  </si>
  <si>
    <t xml:space="preserve"> UAN NO</t>
  </si>
  <si>
    <t>ESIC No</t>
  </si>
  <si>
    <t>EMPLOYEE</t>
  </si>
  <si>
    <t>DOJ</t>
  </si>
  <si>
    <t>Design.</t>
  </si>
  <si>
    <t>Total P. Days</t>
  </si>
  <si>
    <t>No. of Days Wrkd</t>
  </si>
  <si>
    <t>EXTRA DAYS</t>
  </si>
  <si>
    <t>OT Hrs</t>
  </si>
  <si>
    <t>OT Amt</t>
  </si>
  <si>
    <t>BASIC + VDA</t>
  </si>
  <si>
    <t>HRA</t>
  </si>
  <si>
    <t>Other Allownce</t>
  </si>
  <si>
    <t>BONUS</t>
  </si>
  <si>
    <t>LEAVE WAGES</t>
  </si>
  <si>
    <t>GROSS 
AMT</t>
  </si>
  <si>
    <t>PF  (12%)</t>
  </si>
  <si>
    <t>ESI (0.75%)</t>
  </si>
  <si>
    <t>P.Tax</t>
  </si>
  <si>
    <t>Others</t>
  </si>
  <si>
    <t>NET PAY</t>
  </si>
  <si>
    <t>LWF</t>
  </si>
  <si>
    <t>Total DD</t>
  </si>
  <si>
    <t>Other Addings</t>
  </si>
  <si>
    <t>TOTAL NET PAY</t>
  </si>
  <si>
    <t>IN WORDS</t>
  </si>
  <si>
    <t>20230356319</t>
  </si>
  <si>
    <t>ONLINE</t>
  </si>
  <si>
    <t>GRVSP19631980000017295</t>
  </si>
  <si>
    <t>101732547031</t>
  </si>
  <si>
    <t>3313172073</t>
  </si>
  <si>
    <t>05-02-2024</t>
  </si>
  <si>
    <t>8548101004924</t>
  </si>
  <si>
    <t>GRVSP19631980000017293</t>
  </si>
  <si>
    <t>101822613065</t>
  </si>
  <si>
    <t>7011527196</t>
  </si>
  <si>
    <t>32694861473</t>
  </si>
  <si>
    <t>GRVSP19631980000017289</t>
  </si>
  <si>
    <t>101468118332</t>
  </si>
  <si>
    <t>7011527210</t>
  </si>
  <si>
    <t>40082954282</t>
  </si>
  <si>
    <t>GRVSP19631980000017296</t>
  </si>
  <si>
    <t>101810090779</t>
  </si>
  <si>
    <t>7011527230</t>
  </si>
  <si>
    <t>43134295833</t>
  </si>
  <si>
    <t>GRVSP19631980000017789</t>
  </si>
  <si>
    <t>102100945894</t>
  </si>
  <si>
    <t>7011636702</t>
  </si>
  <si>
    <t>12-07-2024</t>
  </si>
  <si>
    <t>8548108001851</t>
  </si>
  <si>
    <t>GRVSP19631980000017871</t>
  </si>
  <si>
    <t>101649730069</t>
  </si>
  <si>
    <t>7011625666</t>
  </si>
  <si>
    <t>01-08-2024</t>
  </si>
  <si>
    <t>62393501778</t>
  </si>
  <si>
    <t>GRVSP19631980000017917</t>
  </si>
  <si>
    <t>101757115388</t>
  </si>
  <si>
    <t>7011652412</t>
  </si>
  <si>
    <t>20-09-2024</t>
  </si>
  <si>
    <t>8548101005753</t>
  </si>
  <si>
    <t>GRVSP19631980000017949</t>
  </si>
  <si>
    <t>101819300534</t>
  </si>
  <si>
    <t>7011664787</t>
  </si>
  <si>
    <t>22.09.2024</t>
  </si>
  <si>
    <t>42104140868</t>
  </si>
  <si>
    <t>GRVSP19631980000017948</t>
  </si>
  <si>
    <t>101870727875</t>
  </si>
  <si>
    <t>7011664791</t>
  </si>
  <si>
    <t>02.10.2024</t>
  </si>
  <si>
    <t>42398161315</t>
  </si>
  <si>
    <t>GRVSP19631980000018094</t>
  </si>
  <si>
    <t>101832305575</t>
  </si>
  <si>
    <t>7011707530</t>
  </si>
  <si>
    <t>27.01.2025</t>
  </si>
  <si>
    <t>33426073618</t>
  </si>
  <si>
    <t>GRVSP19631980000017918</t>
  </si>
  <si>
    <t>102123677383</t>
  </si>
  <si>
    <t>7011652406</t>
  </si>
  <si>
    <t>24-08-2024</t>
  </si>
  <si>
    <t>20179714615</t>
  </si>
  <si>
    <t>GRVSP19631980000018167</t>
  </si>
  <si>
    <t>101857380459</t>
  </si>
  <si>
    <t>3314289361</t>
  </si>
  <si>
    <t>06.02.2025</t>
  </si>
  <si>
    <t>34546652759</t>
  </si>
  <si>
    <t>GRVSP19631980000018216</t>
  </si>
  <si>
    <t>101820670152</t>
  </si>
  <si>
    <t>3313972243</t>
  </si>
  <si>
    <t>20290204659</t>
  </si>
  <si>
    <t>GRVSP19631980000018169</t>
  </si>
  <si>
    <t>101779348599</t>
  </si>
  <si>
    <t>3313573567</t>
  </si>
  <si>
    <t>10.02.2025</t>
  </si>
  <si>
    <t xml:space="preserve">Month </t>
  </si>
  <si>
    <t>S NO</t>
  </si>
  <si>
    <t>EMP  CODE</t>
  </si>
  <si>
    <t>NAME</t>
  </si>
  <si>
    <t>Gender</t>
  </si>
  <si>
    <t>Store Code</t>
  </si>
  <si>
    <t>DAte of Joining</t>
  </si>
  <si>
    <t>Present Days</t>
  </si>
  <si>
    <t>Absent</t>
  </si>
  <si>
    <t>Week Offs</t>
  </si>
  <si>
    <t>TotAl DAys</t>
  </si>
  <si>
    <t>Public HolidAys</t>
  </si>
  <si>
    <t>TLLP</t>
  </si>
  <si>
    <t>PPRR01063774</t>
  </si>
  <si>
    <t>C SUVARNA LAXMI</t>
  </si>
  <si>
    <t>FEMALE</t>
  </si>
  <si>
    <t>TL4P</t>
  </si>
  <si>
    <t>P</t>
  </si>
  <si>
    <t>W/O</t>
  </si>
  <si>
    <t xml:space="preserve">A </t>
  </si>
  <si>
    <t>PPRR01063695</t>
  </si>
  <si>
    <t>G LAVANYA</t>
  </si>
  <si>
    <t>PPH</t>
  </si>
  <si>
    <t>PPRR01063947</t>
  </si>
  <si>
    <t>J RAHELU</t>
  </si>
  <si>
    <t>MALE</t>
  </si>
  <si>
    <t>20.08.2025</t>
  </si>
  <si>
    <t>PPRR01064005</t>
  </si>
  <si>
    <t>J SUNITHA</t>
  </si>
  <si>
    <t>23.08.2025</t>
  </si>
  <si>
    <t>PPRR01063737</t>
  </si>
  <si>
    <t>K DURGA SHYAMALA</t>
  </si>
  <si>
    <t>PPRR01063671</t>
  </si>
  <si>
    <t>K.VENKATA LAXMI</t>
  </si>
  <si>
    <t>18.09.2025</t>
  </si>
  <si>
    <t>PPRR01063685</t>
  </si>
  <si>
    <t>M ANURADHA</t>
  </si>
  <si>
    <t>PPRR01064021</t>
  </si>
  <si>
    <t>O.ANITHA DEVI</t>
  </si>
  <si>
    <t>26.08.2025</t>
  </si>
  <si>
    <t>PPRR01086837</t>
  </si>
  <si>
    <t>CH SUJATHA</t>
  </si>
  <si>
    <t>01.09.2025</t>
  </si>
  <si>
    <t>PPRR01064055</t>
  </si>
  <si>
    <t>J SAI KUMAR</t>
  </si>
  <si>
    <t>15.08.2025</t>
  </si>
  <si>
    <t>PPRR01063977</t>
  </si>
  <si>
    <t>P.RAMA RAO</t>
  </si>
  <si>
    <t>21.08.2025</t>
  </si>
  <si>
    <t>PPRR01063660</t>
  </si>
  <si>
    <t>P.SAI SURENDRA BHANU</t>
  </si>
  <si>
    <t>PPRR01086793</t>
  </si>
  <si>
    <t>VAMSI</t>
  </si>
  <si>
    <t>08.09.2025</t>
  </si>
  <si>
    <t>PPRR01086755</t>
  </si>
  <si>
    <t>KUMAR</t>
  </si>
  <si>
    <t>PPRR01063438</t>
  </si>
  <si>
    <t>K CHANDRA KALAVATHI</t>
  </si>
  <si>
    <t>TECHNO SOLUTIONS</t>
  </si>
  <si>
    <t>WAGE SHEET FOR THE MONTH OF 1ST FEB '26 TO 28TH FEB '26</t>
  </si>
  <si>
    <t>ANAKAPALLI-TL4P</t>
  </si>
  <si>
    <t>UNIFORM</t>
  </si>
  <si>
    <t>SHOE</t>
  </si>
  <si>
    <t>Sr. No</t>
  </si>
  <si>
    <t>Emp code Number ( as allotted by the currnet vendor )</t>
  </si>
  <si>
    <t>SCRUM ID</t>
  </si>
  <si>
    <t>Name as per Attendance</t>
  </si>
  <si>
    <t>Name of Employee                      (As Per AADHAR)</t>
  </si>
  <si>
    <t>UAN NUMBER</t>
  </si>
  <si>
    <t>ESIC NUMBER</t>
  </si>
  <si>
    <t>DOJ
(MM.DD.YYYY)</t>
  </si>
  <si>
    <t xml:space="preserve"> Location</t>
  </si>
  <si>
    <t>Region</t>
  </si>
  <si>
    <t>State</t>
  </si>
  <si>
    <t>Designation</t>
  </si>
  <si>
    <t>Skill Type</t>
  </si>
  <si>
    <t>Month</t>
  </si>
  <si>
    <t>No.of days</t>
  </si>
  <si>
    <t>No.Of.Working Days</t>
  </si>
  <si>
    <t>Basic</t>
  </si>
  <si>
    <t>DA</t>
  </si>
  <si>
    <t>Consolidated Basic/PF Wages</t>
  </si>
  <si>
    <t>Conveyance</t>
  </si>
  <si>
    <t>Leave
(If payable Monthly)</t>
  </si>
  <si>
    <t>Bonus 
(If payable Monthly)</t>
  </si>
  <si>
    <t>Gross Per Month</t>
  </si>
  <si>
    <t>OT Amount</t>
  </si>
  <si>
    <t>EPF Salary</t>
  </si>
  <si>
    <t>PF - 13%</t>
  </si>
  <si>
    <t>ESIC - 3.25%</t>
  </si>
  <si>
    <t>Employer LWF</t>
  </si>
  <si>
    <t>Total Indirects</t>
  </si>
  <si>
    <t>Co Controlling</t>
  </si>
  <si>
    <t>Uniform Charges</t>
  </si>
  <si>
    <t>CTC</t>
  </si>
  <si>
    <t>PF - 12%</t>
  </si>
  <si>
    <t>ESIC - 0.75%</t>
  </si>
  <si>
    <t>Employee LWF</t>
  </si>
  <si>
    <t>PT</t>
  </si>
  <si>
    <t>Total Deduction</t>
  </si>
  <si>
    <t>Take Home</t>
  </si>
  <si>
    <t>Name of the Acccount Holder</t>
  </si>
  <si>
    <t>A/C No.</t>
  </si>
  <si>
    <t>IFSC Code</t>
  </si>
  <si>
    <t>Damages</t>
  </si>
  <si>
    <t>Salary Payable</t>
  </si>
  <si>
    <t>Remarks</t>
  </si>
  <si>
    <t>Uniform (Apron/T-Shirt)</t>
  </si>
  <si>
    <t>Colour (Maroon / Sea Green)</t>
  </si>
  <si>
    <t>Size (S, M, L, XL, XXL)</t>
  </si>
  <si>
    <t>Required Quantity</t>
  </si>
  <si>
    <t>Issued Quantity</t>
  </si>
  <si>
    <t>Balance Quantity</t>
  </si>
  <si>
    <t>Date of Issue</t>
  </si>
  <si>
    <t>Size (6,7,8,9,10)</t>
  </si>
  <si>
    <t>Required Pairs</t>
  </si>
  <si>
    <t>Issued Pairs</t>
  </si>
  <si>
    <t>ID cards</t>
  </si>
  <si>
    <t>Issue date</t>
  </si>
  <si>
    <t>Appoint letter</t>
  </si>
  <si>
    <t xml:space="preserve">Issue date </t>
  </si>
  <si>
    <t xml:space="preserve">CHANDAKA SUVARNA LAXMI </t>
  </si>
  <si>
    <t>101742491826</t>
  </si>
  <si>
    <t>7011080364</t>
  </si>
  <si>
    <t>ANAKAPALLI</t>
  </si>
  <si>
    <t>South</t>
  </si>
  <si>
    <t>Andhra Pradesh</t>
  </si>
  <si>
    <t>SemiSkilled</t>
  </si>
  <si>
    <t>CHANDAKA SUVARNA LAXMI</t>
  </si>
  <si>
    <t>20204187170</t>
  </si>
  <si>
    <t>SBIN0003135</t>
  </si>
  <si>
    <t>GOVAADA LAVANYA</t>
  </si>
  <si>
    <t>101973885037</t>
  </si>
  <si>
    <t>6210707847</t>
  </si>
  <si>
    <t>33429301407</t>
  </si>
  <si>
    <t>JAJULA SALOMI RAHELU</t>
  </si>
  <si>
    <t>102241169775</t>
  </si>
  <si>
    <t>6210708919</t>
  </si>
  <si>
    <t>44424894089</t>
  </si>
  <si>
    <t>SBIN0000805</t>
  </si>
  <si>
    <t>JERRIPOTHULA SUNEETHA</t>
  </si>
  <si>
    <t>101381848135</t>
  </si>
  <si>
    <t>7010490592</t>
  </si>
  <si>
    <t>20177167594</t>
  </si>
  <si>
    <t>SBIN0015402</t>
  </si>
  <si>
    <t>KOSURU DURGA SYAMALA</t>
  </si>
  <si>
    <t>101974395762</t>
  </si>
  <si>
    <t>6210707942</t>
  </si>
  <si>
    <t>32048025423</t>
  </si>
  <si>
    <t>SBIN0011112</t>
  </si>
  <si>
    <t>K VENKATA LAXMI</t>
  </si>
  <si>
    <t>KAMADENU VENKATA LAXMI</t>
  </si>
  <si>
    <t>102240254040</t>
  </si>
  <si>
    <t>6210707436</t>
  </si>
  <si>
    <t>1420155000117023</t>
  </si>
  <si>
    <t>KVBL0001420</t>
  </si>
  <si>
    <t>MALLA ANURADHA</t>
  </si>
  <si>
    <t>102240267440</t>
  </si>
  <si>
    <t>6210707481</t>
  </si>
  <si>
    <t>20304516181</t>
  </si>
  <si>
    <t>OMMI ANITHADEVI</t>
  </si>
  <si>
    <t>102240588465</t>
  </si>
  <si>
    <t>6210708923</t>
  </si>
  <si>
    <t>386602010020426</t>
  </si>
  <si>
    <t>UBIN0538663</t>
  </si>
  <si>
    <t>CHUKKA SUJATHA</t>
  </si>
  <si>
    <t>102243217343</t>
  </si>
  <si>
    <t>6210724683</t>
  </si>
  <si>
    <t>36214212666</t>
  </si>
  <si>
    <t>SBIN0000255</t>
  </si>
  <si>
    <t>JUREDDI SAI KUMAR</t>
  </si>
  <si>
    <t>101619694658</t>
  </si>
  <si>
    <t>5221285007</t>
  </si>
  <si>
    <t>44277374213</t>
  </si>
  <si>
    <t>POTTU RAMARAO</t>
  </si>
  <si>
    <t>101989390554</t>
  </si>
  <si>
    <t>7011452228</t>
  </si>
  <si>
    <t>8134787836</t>
  </si>
  <si>
    <t>IDIB000M003</t>
  </si>
  <si>
    <t>PILLI SAI SURENDRA BHANU</t>
  </si>
  <si>
    <t>102227802302</t>
  </si>
  <si>
    <t>6210707392</t>
  </si>
  <si>
    <t>861210110014493</t>
  </si>
  <si>
    <t>BKID0008612</t>
  </si>
  <si>
    <t>KATTA VAMSI</t>
  </si>
  <si>
    <t>102248717271</t>
  </si>
  <si>
    <t>6210732036</t>
  </si>
  <si>
    <t>35774062478</t>
  </si>
  <si>
    <t>SBIN0002740</t>
  </si>
  <si>
    <t>MOLLI GANAPATHI KUMAR</t>
  </si>
  <si>
    <t>102248746207</t>
  </si>
  <si>
    <t>6210732026</t>
  </si>
  <si>
    <t>37936951472</t>
  </si>
  <si>
    <t>KUPPALA CHANDRA KALAVATHI</t>
  </si>
  <si>
    <t>102104149858</t>
  </si>
  <si>
    <t>6210707229</t>
  </si>
  <si>
    <t>039301000034863</t>
  </si>
  <si>
    <t>IOBA0000393</t>
  </si>
  <si>
    <t>D.NO.6-12-36,12/1 ARUNDEL PET,GUNTUR -522002</t>
  </si>
  <si>
    <t>Pay Slip for the Month of  AUG 2025</t>
  </si>
  <si>
    <t>Pay Slip Genrated Date:</t>
  </si>
  <si>
    <t>Employee Name</t>
  </si>
  <si>
    <t>Location</t>
  </si>
  <si>
    <t>Month &amp; Year</t>
  </si>
  <si>
    <t>UAN NO</t>
  </si>
  <si>
    <t>ESIC NO</t>
  </si>
  <si>
    <t>No Of Days This Month</t>
  </si>
  <si>
    <t>Days Workerd</t>
  </si>
  <si>
    <t>Earnings</t>
  </si>
  <si>
    <t>Deductions</t>
  </si>
  <si>
    <t>Basic-(A)</t>
  </si>
  <si>
    <t>PF (On Basic-A)</t>
  </si>
  <si>
    <t>HRA-(B)</t>
  </si>
  <si>
    <t>E.S.I.C (On Gross A+B+C+D+E)</t>
  </si>
  <si>
    <t>Conveyance-( C )</t>
  </si>
  <si>
    <t>L W F</t>
  </si>
  <si>
    <t>BONUS- (D)</t>
  </si>
  <si>
    <t>Professional Tax</t>
  </si>
  <si>
    <t>PL- ( E)</t>
  </si>
  <si>
    <t>Extra Days Payment</t>
  </si>
  <si>
    <t>OT Hours Amount</t>
  </si>
  <si>
    <t>Total Addition</t>
  </si>
  <si>
    <t>Net Salary</t>
  </si>
  <si>
    <t>Ruppes In words:</t>
  </si>
  <si>
    <t>For  TECHNO SOLUTIONS</t>
  </si>
  <si>
    <t>Authorised Signatory</t>
  </si>
  <si>
    <t>Pay Slip for the Month of  July 2025</t>
  </si>
  <si>
    <t>Work Incentive</t>
  </si>
  <si>
    <t>TAX INVOICE</t>
  </si>
  <si>
    <t>ORIGINAL FOR RECIPIENT</t>
  </si>
  <si>
    <t>SATHYA GLOBAL STRATEGY</t>
  </si>
  <si>
    <t>38-19-10/7A,Jyothi Nagar, Marripalem, Visakhapatnam</t>
  </si>
  <si>
    <t>GSTIN : 37ADXFS7871B1ZD</t>
  </si>
  <si>
    <t>PAN  : ADXFS7871B</t>
  </si>
  <si>
    <t xml:space="preserve">Invoice No : </t>
  </si>
  <si>
    <t xml:space="preserve">6.Invoice Date: </t>
  </si>
  <si>
    <t>Period of Service from:  21ST APR -2024 TO 20TH MAY -2024</t>
  </si>
  <si>
    <t>Recipient Name and Address</t>
  </si>
  <si>
    <t>7. Check Digit No.</t>
  </si>
  <si>
    <t>M/s QWIK Supply Chain Pvt Ltd,</t>
  </si>
  <si>
    <t>C 51 Yard, Plot No. 9, IDA Park, APIIC,, Road No. 8, Vakalpudi,, Thammavaram Village, Kakinada, East Godavari, Andhra Pradesh, 533005</t>
  </si>
  <si>
    <t>GSTIN : 37AAACF5232A1Z8</t>
  </si>
  <si>
    <t>PAN : AAACF5232A</t>
  </si>
  <si>
    <t>SAC : 996729 - Services for Storage/ Warehouse</t>
  </si>
  <si>
    <t>Place of supply of Service : Nellore / Andhra Pradesh</t>
  </si>
  <si>
    <t>Sr.No</t>
  </si>
  <si>
    <t>Description of Services</t>
  </si>
  <si>
    <t>Quantity</t>
  </si>
  <si>
    <t>UOM</t>
  </si>
  <si>
    <t>Rate (Rs.)/UOM</t>
  </si>
  <si>
    <t>Taxable Value (Rs.)</t>
  </si>
  <si>
    <t>I.</t>
  </si>
  <si>
    <t>Services for Storage/ Warehouse</t>
  </si>
  <si>
    <t>Total Value</t>
  </si>
  <si>
    <t>Central Tax</t>
  </si>
  <si>
    <t>%</t>
  </si>
  <si>
    <t>State Tax</t>
  </si>
  <si>
    <t>Integrated tax</t>
  </si>
  <si>
    <t>Union Territory Tax</t>
  </si>
  <si>
    <t>Cess</t>
  </si>
  <si>
    <r>
      <rPr>
        <b/>
        <sz val="11"/>
        <color theme="1"/>
        <rFont val="Calibri"/>
        <charset val="134"/>
        <scheme val="minor"/>
      </rPr>
      <t>Total Invoice Value in Rs. 1,95,843/-, In Words …Rupees One Lakh Ninety Five Thusand Eight</t>
    </r>
    <r>
      <rPr>
        <sz val="11"/>
        <color theme="1"/>
        <rFont val="Calibri"/>
        <charset val="134"/>
        <scheme val="minor"/>
      </rPr>
      <t xml:space="preserve"> </t>
    </r>
    <r>
      <rPr>
        <b/>
        <sz val="11"/>
        <color theme="1"/>
        <rFont val="Calibri"/>
        <charset val="134"/>
        <scheme val="minor"/>
      </rPr>
      <t>Hundred Forty Three Only</t>
    </r>
  </si>
  <si>
    <t>Forward/reverse charge (Only required for reverse charge)</t>
  </si>
  <si>
    <t xml:space="preserve">Customer Purchase Order No.  and date . </t>
  </si>
  <si>
    <t>For SATHYA GLOBAL STRATEGY</t>
  </si>
  <si>
    <t>Receiver Signature :</t>
  </si>
  <si>
    <t>Authorised Signature</t>
  </si>
  <si>
    <t>Principal Place of Business (Supplier) : Hyderabad</t>
  </si>
  <si>
    <t>Regd.Office : 38-19-10/7A, Jyothi Nagar, Marripalem, Visakhapatnam - 530018 Andhra Pradesh.</t>
  </si>
  <si>
    <t>The above invoice is to be generated in duplicate :</t>
  </si>
  <si>
    <t>the original copy to be marked as "ORIGINAL FOR Supplier"</t>
  </si>
  <si>
    <t>the duplicate copy to be marked as "DUPLICATE FOR Recipient"</t>
  </si>
  <si>
    <t>3rd Floor, Flat No.301,  Pratapa's Pride, NGGO'S Colony, Shantipuram,  Akkayyapalem,  Visakhapatnam, Andhra Pradesh, 530016</t>
  </si>
  <si>
    <t>TO,</t>
  </si>
  <si>
    <t>Inv. No.</t>
  </si>
  <si>
    <t>SGS/24-25/</t>
  </si>
  <si>
    <t>Reliance Projects &amp; Property Management Services Limited</t>
  </si>
  <si>
    <t>Inv. Date</t>
  </si>
  <si>
    <t>C - 51, Plot No. 9, IDA Park, APIIC,, Road No. 8, Vakalpudi, Thammavaram Village, East Godavari, Andhra Pradesh, 533005</t>
  </si>
  <si>
    <t xml:space="preserve">GS.T. NO. </t>
  </si>
  <si>
    <t>37ADXFS7871B1ZD</t>
  </si>
  <si>
    <t>State – Andhra Pradesh</t>
  </si>
  <si>
    <t>PAN No.</t>
  </si>
  <si>
    <t>ADXFS7871B</t>
  </si>
  <si>
    <t>State code - 37</t>
  </si>
  <si>
    <r>
      <rPr>
        <sz val="11"/>
        <color rgb="FF000000"/>
        <rFont val="Times New Roman"/>
        <charset val="134"/>
      </rPr>
      <t>GST No.-</t>
    </r>
    <r>
      <rPr>
        <sz val="11"/>
        <color theme="1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>37AAJCR6636B1ZB</t>
    </r>
  </si>
  <si>
    <t>SAC Code</t>
  </si>
  <si>
    <t>PO No.: 5500271026</t>
  </si>
  <si>
    <t>Description</t>
  </si>
  <si>
    <t>Misc. charges Invoice for the period of 21st December to 20th January'25</t>
  </si>
  <si>
    <t>Sr. No.</t>
  </si>
  <si>
    <t>Qty.</t>
  </si>
  <si>
    <t>Price</t>
  </si>
  <si>
    <t>Amount</t>
  </si>
  <si>
    <t>Storage &amp; Warehousing Charges for the month of January'25</t>
  </si>
  <si>
    <t> For the Storage &amp; Warehousing Charges for Reliance Project &amp; Property Management Services Limited</t>
  </si>
  <si>
    <t> 2</t>
  </si>
  <si>
    <t>Management Fees</t>
  </si>
  <si>
    <t>Misc. Charges</t>
  </si>
  <si>
    <t xml:space="preserve">                                              Sub Total</t>
  </si>
  <si>
    <t>CGST @ 9%</t>
  </si>
  <si>
    <t>SGST @9%</t>
  </si>
  <si>
    <t>IGST @18%</t>
  </si>
  <si>
    <t>(Rupees in words…. Eight Hundred Fifty Six Only)</t>
  </si>
  <si>
    <t>Authorized Signatory</t>
  </si>
  <si>
    <t>Name of Employee</t>
  </si>
  <si>
    <t>PF ACCOUNT NUMBERS</t>
  </si>
  <si>
    <t>OT amount</t>
  </si>
  <si>
    <t>EXTRA DAY PAYMENT</t>
  </si>
  <si>
    <t>BANK NAME</t>
  </si>
  <si>
    <t>Remark2</t>
  </si>
  <si>
    <t>SGS/RIL/NLR-FC/011</t>
  </si>
  <si>
    <t>SOMATHATI DINESH KUMAR</t>
  </si>
  <si>
    <t>GRVSP19631980000017290</t>
  </si>
  <si>
    <t>NELLORE FC</t>
  </si>
  <si>
    <t>CNRB0013471</t>
  </si>
  <si>
    <t>CANARA BANK</t>
  </si>
  <si>
    <t>Yes</t>
  </si>
  <si>
    <t>19.02.24</t>
  </si>
  <si>
    <t>SGS/RIL/NLR-FC/012</t>
  </si>
  <si>
    <t>MANNURU KISHORE</t>
  </si>
  <si>
    <t>GRVSP19631980000017292</t>
  </si>
  <si>
    <t>SBIN0015306</t>
  </si>
  <si>
    <t>STATE BANK OF INDIA</t>
  </si>
  <si>
    <t>June'24</t>
  </si>
  <si>
    <t>21st May to 20th June'24</t>
  </si>
  <si>
    <t>SGS/RIL/NLR-FC/006</t>
  </si>
  <si>
    <t xml:space="preserve">OJILI RAJASEKHAR </t>
  </si>
  <si>
    <t>GRVSP19631980000017298</t>
  </si>
  <si>
    <t>SBIN0007457</t>
  </si>
  <si>
    <t>SGS/RIL/NLR-FC/007</t>
  </si>
  <si>
    <t>ARAVA BHARATH</t>
  </si>
  <si>
    <t>GRVSP19631980000017294</t>
  </si>
  <si>
    <t> 7011527212</t>
  </si>
  <si>
    <t>DEO</t>
  </si>
  <si>
    <t>Skilled</t>
  </si>
  <si>
    <t>SBIN0001163</t>
  </si>
  <si>
    <t>SGS/RIL/NLR-FC/009</t>
  </si>
  <si>
    <t>BADANAPURI SAIKUMAR</t>
  </si>
  <si>
    <t>GRVSP19631980000017291</t>
  </si>
  <si>
    <t>CNRB0013558</t>
  </si>
  <si>
    <t>July'24</t>
  </si>
  <si>
    <t>21st June to 20th July'24</t>
  </si>
  <si>
    <t>SGS/RIL/NLR-FC/004</t>
  </si>
  <si>
    <t>POLIBOYINA PRASAD</t>
  </si>
  <si>
    <t>GRVSP19631980000017297</t>
  </si>
  <si>
    <t>24.02.24</t>
  </si>
  <si>
    <t>August'24</t>
  </si>
  <si>
    <t>21st July to 20th August'24</t>
  </si>
  <si>
    <t>SGS/RIL/NLR-FC/008</t>
  </si>
  <si>
    <t>PPRR00590648</t>
  </si>
  <si>
    <t>EDAMAKANTI SUSHMA</t>
  </si>
  <si>
    <t>GRVSP19631980000017288</t>
  </si>
  <si>
    <t>10453211009979</t>
  </si>
  <si>
    <t>UCBA0001045</t>
  </si>
  <si>
    <t>UCO BANK</t>
  </si>
  <si>
    <t>20.02.24</t>
  </si>
  <si>
    <t>SGS/RIL/NLR-FC/014</t>
  </si>
  <si>
    <t>PPRR00838039</t>
  </si>
  <si>
    <t>GANGAPATNAM BALAJI</t>
  </si>
  <si>
    <t>GRVSP19631980000017573</t>
  </si>
  <si>
    <t>001910156294</t>
  </si>
  <si>
    <t>IPOS0000001</t>
  </si>
  <si>
    <t>POSTAL BANK</t>
  </si>
  <si>
    <t>SEPTEMBER'24</t>
  </si>
  <si>
    <t>EXTRA DAYS (Holiday)</t>
  </si>
  <si>
    <t>SGS/RIL/NLR-FC/016</t>
  </si>
  <si>
    <t>PPRR00843198</t>
  </si>
  <si>
    <t>SK NASEERA BHANU</t>
  </si>
  <si>
    <t>SHAIK NASEERA BHANU</t>
  </si>
  <si>
    <t>GRVSP19631980000017575</t>
  </si>
  <si>
    <t>09808100001409</t>
  </si>
  <si>
    <t>BARB0NELLOR</t>
  </si>
  <si>
    <t>BANK OF BARODA</t>
  </si>
  <si>
    <t>SGS/RIL/NLR-FC/019</t>
  </si>
  <si>
    <t>PPRR00857473</t>
  </si>
  <si>
    <t>ANGIREKULA NAVEEN</t>
  </si>
  <si>
    <t>GRVSP19631980000017788</t>
  </si>
  <si>
    <t>7091484234</t>
  </si>
  <si>
    <t>IDIB000K340</t>
  </si>
  <si>
    <t>INDIAN BANK</t>
  </si>
  <si>
    <t>October'24</t>
  </si>
  <si>
    <t>21st Sep to 20th Oct'24</t>
  </si>
  <si>
    <t>Arrears July'24</t>
  </si>
  <si>
    <t>PPRR00590641</t>
  </si>
  <si>
    <t>110077926480</t>
  </si>
  <si>
    <t>SGS/RIL/NLR-FC/020</t>
  </si>
  <si>
    <t>PPRR00848274</t>
  </si>
  <si>
    <t>CHITTEPU VENKATA SIVA KUMAR</t>
  </si>
  <si>
    <t>GRVSP19631980000017793</t>
  </si>
  <si>
    <t>31934332195</t>
  </si>
  <si>
    <t>December'24</t>
  </si>
  <si>
    <t>21st Nov to 20th Dec'24</t>
  </si>
  <si>
    <t>SGS/RIL/NLR-FC/013</t>
  </si>
  <si>
    <t>PPRR00836874</t>
  </si>
  <si>
    <t>BAIRAKURU JYOTHEESH KUMAR</t>
  </si>
  <si>
    <t>GRVSP19631980000017572</t>
  </si>
  <si>
    <t>NA</t>
  </si>
  <si>
    <t>75520100022597</t>
  </si>
  <si>
    <t>BARB0VJTIPA</t>
  </si>
  <si>
    <t>SGS/RIL/NLR-FC/017</t>
  </si>
  <si>
    <t>PPRR00843240</t>
  </si>
  <si>
    <t>THOTAKURA KALPANA</t>
  </si>
  <si>
    <t>GRVSP19631980000017792</t>
  </si>
  <si>
    <t>39474686874</t>
  </si>
  <si>
    <t>SBIN0000798</t>
  </si>
  <si>
    <t>SGS/RIL/NLR-FC/023</t>
  </si>
  <si>
    <t>PPRR00861192</t>
  </si>
  <si>
    <t>PARVATHALA VINDHYA LATHA</t>
  </si>
  <si>
    <t>GRVSP19631980000017873</t>
  </si>
  <si>
    <t>35562200024382</t>
  </si>
  <si>
    <t>CNRB0001356</t>
  </si>
  <si>
    <t>Canara bank</t>
  </si>
  <si>
    <t>SGS/RIL/NLR-FC/028</t>
  </si>
  <si>
    <t>PPRR00887185</t>
  </si>
  <si>
    <t>BRAMAIAH</t>
  </si>
  <si>
    <t>MARRIPATI BRAMHAIAH</t>
  </si>
  <si>
    <t>25.09.24</t>
  </si>
  <si>
    <t>62482078067</t>
  </si>
  <si>
    <t>SBIN0018306</t>
  </si>
  <si>
    <t>January'25</t>
  </si>
  <si>
    <t>21st Dec to 20th Jan'25</t>
  </si>
  <si>
    <t>SGS/RIL/NLR-FC/015</t>
  </si>
  <si>
    <t>PPRR00843175</t>
  </si>
  <si>
    <t>SHAIK NAZIYA</t>
  </si>
  <si>
    <t>GRVSP19631980000017574</t>
  </si>
  <si>
    <t>09808100001371</t>
  </si>
  <si>
    <t>SGS/RIL/NLR-FC/024</t>
  </si>
  <si>
    <t>PPRR00864399</t>
  </si>
  <si>
    <t>SYAM KUMAR</t>
  </si>
  <si>
    <t>SBIN0003353</t>
  </si>
  <si>
    <t>Active employee only he has taken leave due to health issue and active from 21 Feb'25</t>
  </si>
  <si>
    <t>February'25</t>
  </si>
  <si>
    <t>21st Jan to 20th Feb'25</t>
  </si>
  <si>
    <t>SGS/RIL/NLR-FC/003</t>
  </si>
  <si>
    <t>PPRR00590637</t>
  </si>
  <si>
    <t>PODILI PERM SAI</t>
  </si>
  <si>
    <t>GRVSP19631980000017287</t>
  </si>
  <si>
    <t>263910100038240</t>
  </si>
  <si>
    <t>UBIN0826391</t>
  </si>
  <si>
    <t>ANDHRA BANK</t>
  </si>
  <si>
    <t>21.02.24</t>
  </si>
  <si>
    <t>March</t>
  </si>
  <si>
    <t>21st Feb to 20th Mar'25</t>
  </si>
  <si>
    <t>SGS/RIL/NLR-FC/001</t>
  </si>
  <si>
    <t>PPRR00590163</t>
  </si>
  <si>
    <t>POLICHIRLA SRINUVASULU</t>
  </si>
  <si>
    <t>April</t>
  </si>
  <si>
    <t>21st Mar to 20th Apr'25</t>
  </si>
  <si>
    <t>SGS/RIL/NLR-FC/0011</t>
  </si>
  <si>
    <t>PPRR00932702</t>
  </si>
  <si>
    <t>K.BRAMAIAH</t>
  </si>
  <si>
    <t>Kamanchi Brahmaiah</t>
  </si>
  <si>
    <t>SBIN0015069</t>
  </si>
  <si>
    <t>SGS/RIL/NLR-FC/0010</t>
  </si>
  <si>
    <t>SBIN0009353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</si>
</sst>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7" formatCode="[$-409]d/mmm/yy;@"/>
    <numFmt numFmtId="168" formatCode="_ * #,##0_ ;_ * \-#,##0_ ;_ * &quot;-&quot;??_ ;_ @_ "/>
    <numFmt numFmtId="169" formatCode="0_ "/>
    <numFmt numFmtId="170" formatCode="0.0"/>
    <numFmt numFmtId="171" formatCode="[$-F800]dddd\,\ mmmm\ dd\,\ yyyy"/>
    <numFmt numFmtId="172" formatCode="_(* #,##0_);_(* \(#,##0\);_(* &quot;-&quot;??_);_(@_)"/>
  </numFmts>
  <fonts count="5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FF0000"/>
      <name val="Calibri"/>
      <charset val="134"/>
      <scheme val="minor"/>
    </font>
    <font>
      <b/>
      <sz val="11"/>
      <name val="Calibri"/>
      <charset val="134"/>
      <scheme val="minor"/>
    </font>
    <font>
      <sz val="10"/>
      <name val="Calibri"/>
      <charset val="134"/>
      <scheme val="minor"/>
    </font>
    <font>
      <sz val="10"/>
      <color rgb="FF424242"/>
      <name val="Segoe UI"/>
      <charset val="134"/>
    </font>
    <font>
      <sz val="10"/>
      <color rgb="FF00000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rgb="FF00B050"/>
      <name val="Calibri"/>
      <charset val="134"/>
      <scheme val="minor"/>
    </font>
    <font>
      <sz val="9"/>
      <color indexed="8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color indexed="8"/>
      <name val="Calibri"/>
      <charset val="134"/>
      <scheme val="minor"/>
    </font>
    <font>
      <sz val="12"/>
      <color rgb="FF000000"/>
      <name val="Calibri"/>
      <charset val="134"/>
    </font>
    <font>
      <sz val="12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b/>
      <sz val="14"/>
      <color rgb="FF000000"/>
      <name val="Times New Roman"/>
      <charset val="134"/>
    </font>
    <font>
      <b/>
      <u/>
      <sz val="11"/>
      <color rgb="FF000000"/>
      <name val="Times New Roman"/>
      <charset val="134"/>
    </font>
    <font>
      <sz val="11"/>
      <name val="Calibri"/>
      <charset val="134"/>
      <scheme val="minor"/>
    </font>
    <font>
      <sz val="11"/>
      <color theme="1"/>
      <name val="Times New Roman"/>
      <charset val="134"/>
    </font>
    <font>
      <b/>
      <sz val="10"/>
      <name val="Arial"/>
      <charset val="134"/>
    </font>
    <font>
      <b/>
      <sz val="10"/>
      <name val="Calibri"/>
      <charset val="134"/>
      <scheme val="minor"/>
    </font>
    <font>
      <b/>
      <sz val="12"/>
      <name val="Calibri"/>
      <charset val="134"/>
      <scheme val="minor"/>
    </font>
    <font>
      <sz val="10"/>
      <name val="Segoe UI"/>
      <charset val="134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i/>
      <sz val="11"/>
      <color theme="0"/>
      <name val="Calibri"/>
      <charset val="134"/>
      <scheme val="minor"/>
    </font>
    <font>
      <i/>
      <u/>
      <sz val="11"/>
      <color theme="0"/>
      <name val="Calibri"/>
      <charset val="134"/>
      <scheme val="minor"/>
    </font>
    <font>
      <b/>
      <sz val="8"/>
      <color theme="0" tint="-4.9989318521683403E-2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11"/>
      <name val="Roboto"/>
      <charset val="134"/>
    </font>
    <font>
      <b/>
      <sz val="10"/>
      <color rgb="FF000000"/>
      <name val="Calibri"/>
      <charset val="134"/>
    </font>
    <font>
      <b/>
      <sz val="10"/>
      <color theme="1"/>
      <name val="Calibri"/>
      <charset val="134"/>
    </font>
    <font>
      <sz val="10"/>
      <name val="Times New Roman"/>
      <charset val="134"/>
    </font>
    <font>
      <b/>
      <sz val="9"/>
      <color rgb="FF0000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rgb="FF006100"/>
      <name val="Calibri"/>
      <charset val="134"/>
    </font>
    <font>
      <sz val="11"/>
      <name val="Calibri"/>
      <charset val="134"/>
    </font>
    <font>
      <sz val="11"/>
      <color rgb="FF000000"/>
      <name val="Calibri"/>
      <charset val="134"/>
    </font>
    <font>
      <sz val="11"/>
      <color indexed="8"/>
      <name val="Calibri"/>
      <charset val="134"/>
    </font>
    <font>
      <sz val="10"/>
      <name val="Arial"/>
      <charset val="134"/>
    </font>
    <font>
      <sz val="10"/>
      <color indexed="8"/>
      <name val="Arial"/>
      <charset val="134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78484450819421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5" tint="0.39988402966399123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12">
    <xf numFmtId="0" fontId="0" fillId="0" borderId="0"/>
    <xf numFmtId="164" fontId="38" fillId="0" borderId="0" applyFont="0" applyFill="0" applyBorder="0" applyAlignment="0" applyProtection="0"/>
    <xf numFmtId="0" fontId="45" fillId="12" borderId="0" applyNumberFormat="0" applyBorder="0" applyAlignment="0" applyProtection="0"/>
    <xf numFmtId="0" fontId="46" fillId="13" borderId="0" applyNumberFormat="0" applyBorder="0" applyAlignment="0" applyProtection="0"/>
    <xf numFmtId="0" fontId="47" fillId="14" borderId="0" applyNumberFormat="0" applyBorder="0" applyAlignment="0" applyProtection="0"/>
    <xf numFmtId="0" fontId="48" fillId="12" borderId="0">
      <alignment vertical="top"/>
      <protection locked="0"/>
    </xf>
    <xf numFmtId="0" fontId="49" fillId="0" borderId="0">
      <alignment vertical="center"/>
    </xf>
    <xf numFmtId="0" fontId="50" fillId="0" borderId="0"/>
    <xf numFmtId="0" fontId="51" fillId="0" borderId="0"/>
    <xf numFmtId="0" fontId="38" fillId="0" borderId="0"/>
    <xf numFmtId="0" fontId="52" fillId="0" borderId="0"/>
    <xf numFmtId="0" fontId="53" fillId="0" borderId="0"/>
  </cellStyleXfs>
  <cellXfs count="329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17" fontId="0" fillId="0" borderId="0" xfId="0" applyNumberFormat="1"/>
    <xf numFmtId="0" fontId="4" fillId="2" borderId="1" xfId="0" applyFont="1" applyFill="1" applyBorder="1" applyAlignment="1">
      <alignment horizontal="left" vertical="center" wrapText="1"/>
    </xf>
    <xf numFmtId="1" fontId="4" fillId="2" borderId="1" xfId="0" applyNumberFormat="1" applyFont="1" applyFill="1" applyBorder="1" applyAlignment="1">
      <alignment horizontal="left" vertical="center" wrapText="1"/>
    </xf>
    <xf numFmtId="0" fontId="0" fillId="0" borderId="1" xfId="0" applyBorder="1"/>
    <xf numFmtId="0" fontId="5" fillId="0" borderId="1" xfId="0" applyFont="1" applyBorder="1"/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1" fontId="2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5" fillId="0" borderId="0" xfId="0" applyFont="1"/>
    <xf numFmtId="0" fontId="2" fillId="2" borderId="1" xfId="0" applyFont="1" applyFill="1" applyBorder="1" applyAlignment="1">
      <alignment horizontal="left"/>
    </xf>
    <xf numFmtId="0" fontId="2" fillId="0" borderId="1" xfId="0" applyFont="1" applyBorder="1"/>
    <xf numFmtId="1" fontId="2" fillId="0" borderId="1" xfId="0" applyNumberFormat="1" applyFont="1" applyBorder="1" applyAlignment="1">
      <alignment horizontal="center"/>
    </xf>
    <xf numFmtId="0" fontId="6" fillId="0" borderId="0" xfId="0" applyFont="1"/>
    <xf numFmtId="0" fontId="2" fillId="3" borderId="1" xfId="0" applyFont="1" applyFill="1" applyBorder="1"/>
    <xf numFmtId="0" fontId="5" fillId="3" borderId="1" xfId="0" applyFont="1" applyFill="1" applyBorder="1"/>
    <xf numFmtId="0" fontId="0" fillId="3" borderId="1" xfId="0" applyFill="1" applyBorder="1"/>
    <xf numFmtId="0" fontId="2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vertical="center"/>
    </xf>
    <xf numFmtId="1" fontId="2" fillId="3" borderId="2" xfId="0" applyNumberFormat="1" applyFont="1" applyFill="1" applyBorder="1" applyAlignment="1">
      <alignment horizontal="center"/>
    </xf>
    <xf numFmtId="0" fontId="3" fillId="0" borderId="1" xfId="0" applyFont="1" applyBorder="1"/>
    <xf numFmtId="0" fontId="8" fillId="0" borderId="1" xfId="0" applyFont="1" applyBorder="1"/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" fontId="3" fillId="2" borderId="1" xfId="0" applyNumberFormat="1" applyFont="1" applyFill="1" applyBorder="1" applyAlignment="1">
      <alignment horizontal="center"/>
    </xf>
    <xf numFmtId="0" fontId="7" fillId="4" borderId="1" xfId="0" applyFont="1" applyFill="1" applyBorder="1" applyAlignment="1">
      <alignment vertical="center"/>
    </xf>
    <xf numFmtId="1" fontId="2" fillId="2" borderId="2" xfId="0" applyNumberFormat="1" applyFont="1" applyFill="1" applyBorder="1" applyAlignment="1">
      <alignment horizontal="center"/>
    </xf>
    <xf numFmtId="167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/>
    <xf numFmtId="0" fontId="9" fillId="0" borderId="1" xfId="0" applyFont="1" applyBorder="1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1" fontId="2" fillId="0" borderId="1" xfId="0" applyNumberFormat="1" applyFont="1" applyBorder="1"/>
    <xf numFmtId="1" fontId="2" fillId="3" borderId="1" xfId="0" applyNumberFormat="1" applyFont="1" applyFill="1" applyBorder="1"/>
    <xf numFmtId="1" fontId="4" fillId="5" borderId="1" xfId="0" applyNumberFormat="1" applyFont="1" applyFill="1" applyBorder="1" applyAlignment="1">
      <alignment horizontal="left" vertical="center" wrapText="1"/>
    </xf>
    <xf numFmtId="1" fontId="0" fillId="0" borderId="1" xfId="0" applyNumberFormat="1" applyBorder="1"/>
    <xf numFmtId="1" fontId="3" fillId="0" borderId="1" xfId="0" applyNumberFormat="1" applyFont="1" applyBorder="1"/>
    <xf numFmtId="1" fontId="4" fillId="2" borderId="0" xfId="0" applyNumberFormat="1" applyFont="1" applyFill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49" fontId="4" fillId="2" borderId="1" xfId="0" applyNumberFormat="1" applyFont="1" applyFill="1" applyBorder="1" applyAlignment="1">
      <alignment horizontal="left" vertical="center" wrapText="1"/>
    </xf>
    <xf numFmtId="1" fontId="10" fillId="0" borderId="1" xfId="11" applyNumberFormat="1" applyFont="1" applyBorder="1" applyAlignment="1">
      <alignment horizontal="right" vertical="center"/>
    </xf>
    <xf numFmtId="1" fontId="0" fillId="0" borderId="1" xfId="0" applyNumberForma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0" fontId="2" fillId="2" borderId="3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 readingOrder="1"/>
    </xf>
    <xf numFmtId="1" fontId="12" fillId="0" borderId="1" xfId="11" applyNumberFormat="1" applyFont="1" applyBorder="1" applyAlignment="1">
      <alignment horizontal="right" vertical="center"/>
    </xf>
    <xf numFmtId="49" fontId="0" fillId="0" borderId="1" xfId="0" applyNumberFormat="1" applyBorder="1"/>
    <xf numFmtId="1" fontId="12" fillId="3" borderId="1" xfId="11" applyNumberFormat="1" applyFont="1" applyFill="1" applyBorder="1" applyAlignment="1">
      <alignment horizontal="right" vertical="center"/>
    </xf>
    <xf numFmtId="0" fontId="11" fillId="3" borderId="1" xfId="0" applyFont="1" applyFill="1" applyBorder="1" applyAlignment="1">
      <alignment horizontal="left" vertical="center" readingOrder="1"/>
    </xf>
    <xf numFmtId="1" fontId="3" fillId="0" borderId="1" xfId="11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 readingOrder="1"/>
    </xf>
    <xf numFmtId="0" fontId="13" fillId="0" borderId="1" xfId="0" applyFont="1" applyBorder="1" applyAlignment="1">
      <alignment horizontal="left" vertical="center"/>
    </xf>
    <xf numFmtId="1" fontId="14" fillId="0" borderId="1" xfId="0" applyNumberFormat="1" applyFont="1" applyBorder="1" applyAlignment="1">
      <alignment horizontal="left"/>
    </xf>
    <xf numFmtId="0" fontId="15" fillId="0" borderId="1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left" vertical="center"/>
    </xf>
    <xf numFmtId="0" fontId="0" fillId="0" borderId="3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1" fontId="0" fillId="0" borderId="3" xfId="0" applyNumberFormat="1" applyBorder="1"/>
    <xf numFmtId="0" fontId="2" fillId="0" borderId="3" xfId="0" applyFont="1" applyBorder="1"/>
    <xf numFmtId="1" fontId="0" fillId="3" borderId="1" xfId="0" applyNumberFormat="1" applyFill="1" applyBorder="1"/>
    <xf numFmtId="0" fontId="2" fillId="3" borderId="3" xfId="0" applyFont="1" applyFill="1" applyBorder="1"/>
    <xf numFmtId="1" fontId="8" fillId="0" borderId="1" xfId="0" applyNumberFormat="1" applyFont="1" applyBorder="1"/>
    <xf numFmtId="0" fontId="3" fillId="0" borderId="3" xfId="0" applyFont="1" applyBorder="1"/>
    <xf numFmtId="0" fontId="0" fillId="0" borderId="1" xfId="0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0" borderId="1" xfId="0" applyFont="1" applyBorder="1"/>
    <xf numFmtId="14" fontId="4" fillId="2" borderId="1" xfId="0" applyNumberFormat="1" applyFont="1" applyFill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left" vertical="center" wrapText="1"/>
    </xf>
    <xf numFmtId="0" fontId="17" fillId="0" borderId="6" xfId="0" applyFont="1" applyBorder="1" applyAlignment="1">
      <alignment vertical="center"/>
    </xf>
    <xf numFmtId="0" fontId="17" fillId="0" borderId="7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10" xfId="0" applyFont="1" applyBorder="1" applyAlignment="1">
      <alignment vertical="center"/>
    </xf>
    <xf numFmtId="0" fontId="18" fillId="0" borderId="11" xfId="0" applyFont="1" applyBorder="1" applyAlignment="1">
      <alignment vertical="center"/>
    </xf>
    <xf numFmtId="0" fontId="18" fillId="0" borderId="13" xfId="0" applyFont="1" applyBorder="1" applyAlignment="1">
      <alignment vertical="center"/>
    </xf>
    <xf numFmtId="0" fontId="18" fillId="0" borderId="13" xfId="0" applyFont="1" applyBorder="1" applyAlignment="1">
      <alignment horizontal="left" vertical="center"/>
    </xf>
    <xf numFmtId="0" fontId="18" fillId="0" borderId="13" xfId="0" applyFont="1" applyBorder="1" applyAlignment="1">
      <alignment vertical="center" wrapText="1"/>
    </xf>
    <xf numFmtId="0" fontId="20" fillId="0" borderId="11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43" fontId="18" fillId="0" borderId="13" xfId="0" applyNumberFormat="1" applyFont="1" applyBorder="1" applyAlignment="1">
      <alignment horizontal="center" vertical="center"/>
    </xf>
    <xf numFmtId="0" fontId="17" fillId="0" borderId="13" xfId="0" applyFont="1" applyBorder="1" applyAlignment="1">
      <alignment vertical="center"/>
    </xf>
    <xf numFmtId="43" fontId="21" fillId="0" borderId="18" xfId="1" applyNumberFormat="1" applyFont="1" applyFill="1" applyBorder="1"/>
    <xf numFmtId="0" fontId="22" fillId="0" borderId="0" xfId="0" applyFont="1" applyAlignment="1">
      <alignment vertical="center"/>
    </xf>
    <xf numFmtId="44" fontId="0" fillId="0" borderId="0" xfId="0" applyNumberFormat="1"/>
    <xf numFmtId="1" fontId="0" fillId="0" borderId="0" xfId="0" applyNumberFormat="1"/>
    <xf numFmtId="43" fontId="0" fillId="0" borderId="0" xfId="0" applyNumberFormat="1"/>
    <xf numFmtId="0" fontId="1" fillId="0" borderId="0" xfId="0" applyFont="1"/>
    <xf numFmtId="0" fontId="21" fillId="0" borderId="0" xfId="0" applyFont="1"/>
    <xf numFmtId="0" fontId="21" fillId="0" borderId="0" xfId="0" applyFont="1" applyAlignment="1">
      <alignment horizontal="right"/>
    </xf>
    <xf numFmtId="0" fontId="23" fillId="2" borderId="19" xfId="0" applyFont="1" applyFill="1" applyBorder="1" applyAlignment="1">
      <alignment horizontal="left"/>
    </xf>
    <xf numFmtId="0" fontId="21" fillId="0" borderId="6" xfId="0" applyFont="1" applyBorder="1"/>
    <xf numFmtId="0" fontId="21" fillId="0" borderId="7" xfId="0" applyFont="1" applyBorder="1"/>
    <xf numFmtId="0" fontId="24" fillId="2" borderId="20" xfId="0" applyFont="1" applyFill="1" applyBorder="1"/>
    <xf numFmtId="0" fontId="24" fillId="0" borderId="0" xfId="0" applyFont="1"/>
    <xf numFmtId="0" fontId="24" fillId="0" borderId="10" xfId="0" applyFont="1" applyBorder="1"/>
    <xf numFmtId="0" fontId="21" fillId="2" borderId="20" xfId="0" applyFont="1" applyFill="1" applyBorder="1"/>
    <xf numFmtId="0" fontId="21" fillId="0" borderId="10" xfId="0" applyFont="1" applyBorder="1"/>
    <xf numFmtId="0" fontId="25" fillId="2" borderId="22" xfId="0" applyFont="1" applyFill="1" applyBorder="1"/>
    <xf numFmtId="0" fontId="21" fillId="2" borderId="23" xfId="0" applyFont="1" applyFill="1" applyBorder="1"/>
    <xf numFmtId="0" fontId="4" fillId="2" borderId="23" xfId="0" applyFont="1" applyFill="1" applyBorder="1"/>
    <xf numFmtId="14" fontId="4" fillId="2" borderId="24" xfId="0" applyNumberFormat="1" applyFont="1" applyFill="1" applyBorder="1"/>
    <xf numFmtId="0" fontId="4" fillId="0" borderId="9" xfId="0" applyFont="1" applyBorder="1"/>
    <xf numFmtId="0" fontId="4" fillId="2" borderId="0" xfId="0" applyFont="1" applyFill="1"/>
    <xf numFmtId="0" fontId="21" fillId="2" borderId="0" xfId="0" applyFont="1" applyFill="1"/>
    <xf numFmtId="0" fontId="21" fillId="2" borderId="10" xfId="0" applyFont="1" applyFill="1" applyBorder="1"/>
    <xf numFmtId="0" fontId="4" fillId="0" borderId="25" xfId="0" applyFont="1" applyBorder="1"/>
    <xf numFmtId="0" fontId="21" fillId="0" borderId="26" xfId="0" applyFont="1" applyBorder="1"/>
    <xf numFmtId="0" fontId="21" fillId="0" borderId="27" xfId="0" applyFont="1" applyBorder="1"/>
    <xf numFmtId="0" fontId="21" fillId="0" borderId="9" xfId="0" applyFont="1" applyBorder="1"/>
    <xf numFmtId="0" fontId="21" fillId="0" borderId="10" xfId="0" applyFont="1" applyBorder="1" applyAlignment="1">
      <alignment vertical="center"/>
    </xf>
    <xf numFmtId="0" fontId="21" fillId="2" borderId="9" xfId="0" applyFont="1" applyFill="1" applyBorder="1" applyAlignment="1">
      <alignment horizontal="left" vertical="top"/>
    </xf>
    <xf numFmtId="0" fontId="26" fillId="2" borderId="0" xfId="0" applyFont="1" applyFill="1" applyAlignment="1">
      <alignment vertical="center"/>
    </xf>
    <xf numFmtId="0" fontId="21" fillId="2" borderId="10" xfId="0" applyFont="1" applyFill="1" applyBorder="1" applyAlignment="1">
      <alignment horizontal="left" vertical="top"/>
    </xf>
    <xf numFmtId="0" fontId="21" fillId="2" borderId="21" xfId="0" applyFont="1" applyFill="1" applyBorder="1"/>
    <xf numFmtId="0" fontId="21" fillId="2" borderId="24" xfId="0" applyFont="1" applyFill="1" applyBorder="1"/>
    <xf numFmtId="0" fontId="21" fillId="2" borderId="9" xfId="0" applyFont="1" applyFill="1" applyBorder="1"/>
    <xf numFmtId="0" fontId="21" fillId="2" borderId="28" xfId="0" applyFont="1" applyFill="1" applyBorder="1"/>
    <xf numFmtId="0" fontId="21" fillId="2" borderId="1" xfId="0" applyFont="1" applyFill="1" applyBorder="1"/>
    <xf numFmtId="0" fontId="21" fillId="2" borderId="1" xfId="0" applyFont="1" applyFill="1" applyBorder="1" applyAlignment="1">
      <alignment wrapText="1"/>
    </xf>
    <xf numFmtId="0" fontId="21" fillId="2" borderId="18" xfId="0" applyFont="1" applyFill="1" applyBorder="1" applyAlignment="1">
      <alignment wrapText="1"/>
    </xf>
    <xf numFmtId="43" fontId="21" fillId="0" borderId="10" xfId="1" applyNumberFormat="1" applyFont="1" applyFill="1" applyBorder="1"/>
    <xf numFmtId="164" fontId="21" fillId="0" borderId="10" xfId="0" applyNumberFormat="1" applyFont="1" applyBorder="1" applyAlignment="1">
      <alignment horizontal="right"/>
    </xf>
    <xf numFmtId="0" fontId="21" fillId="0" borderId="10" xfId="0" applyFont="1" applyBorder="1" applyAlignment="1">
      <alignment horizontal="right"/>
    </xf>
    <xf numFmtId="0" fontId="1" fillId="2" borderId="9" xfId="0" applyFont="1" applyFill="1" applyBorder="1" applyAlignment="1">
      <alignment vertical="center" wrapText="1"/>
    </xf>
    <xf numFmtId="43" fontId="4" fillId="2" borderId="10" xfId="1" applyNumberFormat="1" applyFont="1" applyFill="1" applyBorder="1" applyAlignment="1">
      <alignment horizontal="right" vertical="center"/>
    </xf>
    <xf numFmtId="0" fontId="21" fillId="0" borderId="21" xfId="0" applyFont="1" applyBorder="1"/>
    <xf numFmtId="0" fontId="21" fillId="0" borderId="23" xfId="0" applyFont="1" applyBorder="1"/>
    <xf numFmtId="0" fontId="21" fillId="0" borderId="24" xfId="0" applyFont="1" applyBorder="1"/>
    <xf numFmtId="0" fontId="21" fillId="2" borderId="25" xfId="0" applyFont="1" applyFill="1" applyBorder="1" applyAlignment="1">
      <alignment vertical="top"/>
    </xf>
    <xf numFmtId="0" fontId="21" fillId="2" borderId="29" xfId="0" applyFont="1" applyFill="1" applyBorder="1"/>
    <xf numFmtId="0" fontId="21" fillId="2" borderId="30" xfId="0" applyFont="1" applyFill="1" applyBorder="1"/>
    <xf numFmtId="0" fontId="21" fillId="2" borderId="26" xfId="0" applyFont="1" applyFill="1" applyBorder="1"/>
    <xf numFmtId="0" fontId="21" fillId="2" borderId="27" xfId="0" applyFont="1" applyFill="1" applyBorder="1"/>
    <xf numFmtId="0" fontId="25" fillId="0" borderId="25" xfId="0" applyFont="1" applyBorder="1" applyAlignment="1">
      <alignment horizontal="center"/>
    </xf>
    <xf numFmtId="0" fontId="21" fillId="0" borderId="29" xfId="0" applyFont="1" applyBorder="1"/>
    <xf numFmtId="0" fontId="25" fillId="0" borderId="26" xfId="0" applyFont="1" applyBorder="1"/>
    <xf numFmtId="0" fontId="21" fillId="0" borderId="31" xfId="0" applyFont="1" applyBorder="1"/>
    <xf numFmtId="0" fontId="25" fillId="0" borderId="0" xfId="0" applyFont="1"/>
    <xf numFmtId="0" fontId="21" fillId="0" borderId="32" xfId="0" applyFont="1" applyBorder="1"/>
    <xf numFmtId="0" fontId="25" fillId="0" borderId="23" xfId="0" applyFont="1" applyBorder="1"/>
    <xf numFmtId="0" fontId="21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43" fontId="1" fillId="0" borderId="0" xfId="0" applyNumberFormat="1" applyFont="1"/>
    <xf numFmtId="168" fontId="1" fillId="0" borderId="0" xfId="0" applyNumberFormat="1" applyFont="1"/>
    <xf numFmtId="0" fontId="0" fillId="2" borderId="16" xfId="0" applyFill="1" applyBorder="1"/>
    <xf numFmtId="0" fontId="0" fillId="2" borderId="7" xfId="0" applyFill="1" applyBorder="1"/>
    <xf numFmtId="0" fontId="0" fillId="2" borderId="9" xfId="0" applyFill="1" applyBorder="1"/>
    <xf numFmtId="0" fontId="0" fillId="2" borderId="10" xfId="0" applyFill="1" applyBorder="1"/>
    <xf numFmtId="0" fontId="28" fillId="2" borderId="0" xfId="0" applyFont="1" applyFill="1" applyAlignment="1">
      <alignment horizontal="center"/>
    </xf>
    <xf numFmtId="0" fontId="29" fillId="2" borderId="0" xfId="0" applyFont="1" applyFill="1" applyAlignment="1">
      <alignment horizontal="center"/>
    </xf>
    <xf numFmtId="14" fontId="30" fillId="2" borderId="0" xfId="0" applyNumberFormat="1" applyFont="1" applyFill="1" applyAlignment="1">
      <alignment horizontal="left"/>
    </xf>
    <xf numFmtId="0" fontId="31" fillId="2" borderId="0" xfId="0" applyFont="1" applyFill="1" applyAlignment="1">
      <alignment horizontal="center"/>
    </xf>
    <xf numFmtId="0" fontId="32" fillId="2" borderId="1" xfId="0" applyFont="1" applyFill="1" applyBorder="1"/>
    <xf numFmtId="0" fontId="33" fillId="2" borderId="1" xfId="0" applyFont="1" applyFill="1" applyBorder="1" applyAlignment="1">
      <alignment horizontal="right"/>
    </xf>
    <xf numFmtId="17" fontId="33" fillId="2" borderId="1" xfId="0" applyNumberFormat="1" applyFont="1" applyFill="1" applyBorder="1" applyAlignment="1">
      <alignment horizontal="right"/>
    </xf>
    <xf numFmtId="0" fontId="34" fillId="2" borderId="1" xfId="0" applyFont="1" applyFill="1" applyBorder="1"/>
    <xf numFmtId="1" fontId="33" fillId="2" borderId="1" xfId="0" applyNumberFormat="1" applyFont="1" applyFill="1" applyBorder="1" applyAlignment="1">
      <alignment horizontal="right"/>
    </xf>
    <xf numFmtId="0" fontId="0" fillId="2" borderId="0" xfId="0" applyFill="1"/>
    <xf numFmtId="0" fontId="32" fillId="6" borderId="1" xfId="0" applyFont="1" applyFill="1" applyBorder="1"/>
    <xf numFmtId="0" fontId="0" fillId="6" borderId="1" xfId="0" applyFill="1" applyBorder="1"/>
    <xf numFmtId="0" fontId="14" fillId="2" borderId="1" xfId="0" applyFont="1" applyFill="1" applyBorder="1"/>
    <xf numFmtId="1" fontId="14" fillId="2" borderId="1" xfId="0" applyNumberFormat="1" applyFont="1" applyFill="1" applyBorder="1"/>
    <xf numFmtId="169" fontId="14" fillId="2" borderId="1" xfId="0" applyNumberFormat="1" applyFont="1" applyFill="1" applyBorder="1"/>
    <xf numFmtId="0" fontId="0" fillId="2" borderId="1" xfId="0" applyFill="1" applyBorder="1"/>
    <xf numFmtId="0" fontId="33" fillId="2" borderId="1" xfId="0" applyFont="1" applyFill="1" applyBorder="1"/>
    <xf numFmtId="169" fontId="33" fillId="7" borderId="1" xfId="0" applyNumberFormat="1" applyFont="1" applyFill="1" applyBorder="1"/>
    <xf numFmtId="0" fontId="1" fillId="2" borderId="0" xfId="0" applyFont="1" applyFill="1" applyAlignment="1">
      <alignment horizontal="right" vertical="center"/>
    </xf>
    <xf numFmtId="0" fontId="0" fillId="2" borderId="0" xfId="0" applyFill="1" applyAlignment="1">
      <alignment horizontal="left" vertical="center" wrapText="1"/>
    </xf>
    <xf numFmtId="0" fontId="1" fillId="2" borderId="0" xfId="0" applyFont="1" applyFill="1" applyAlignment="1">
      <alignment vertical="center"/>
    </xf>
    <xf numFmtId="0" fontId="15" fillId="2" borderId="0" xfId="0" applyFont="1" applyFill="1" applyAlignment="1">
      <alignment horizontal="left" vertical="top"/>
    </xf>
    <xf numFmtId="0" fontId="33" fillId="2" borderId="0" xfId="0" applyFont="1" applyFill="1"/>
    <xf numFmtId="0" fontId="2" fillId="2" borderId="0" xfId="0" applyFont="1" applyFill="1"/>
    <xf numFmtId="0" fontId="0" fillId="2" borderId="12" xfId="0" applyFill="1" applyBorder="1"/>
    <xf numFmtId="0" fontId="0" fillId="2" borderId="4" xfId="0" applyFill="1" applyBorder="1"/>
    <xf numFmtId="0" fontId="0" fillId="2" borderId="13" xfId="0" applyFill="1" applyBorder="1"/>
    <xf numFmtId="0" fontId="35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2" borderId="0" xfId="0" applyFont="1" applyFill="1" applyAlignment="1">
      <alignment horizontal="center" vertical="center"/>
    </xf>
    <xf numFmtId="0" fontId="36" fillId="2" borderId="0" xfId="0" applyFont="1" applyFill="1" applyAlignment="1">
      <alignment horizontal="left" vertical="center"/>
    </xf>
    <xf numFmtId="0" fontId="36" fillId="2" borderId="0" xfId="0" applyFont="1" applyFill="1" applyAlignment="1">
      <alignment horizontal="center" vertical="center"/>
    </xf>
    <xf numFmtId="1" fontId="36" fillId="2" borderId="0" xfId="0" applyNumberFormat="1" applyFont="1" applyFill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left" wrapText="1"/>
    </xf>
    <xf numFmtId="1" fontId="4" fillId="2" borderId="1" xfId="0" applyNumberFormat="1" applyFont="1" applyFill="1" applyBorder="1" applyAlignment="1">
      <alignment horizontal="center" wrapText="1"/>
    </xf>
    <xf numFmtId="14" fontId="0" fillId="0" borderId="1" xfId="0" applyNumberFormat="1" applyBorder="1"/>
    <xf numFmtId="0" fontId="14" fillId="0" borderId="1" xfId="0" applyFont="1" applyBorder="1" applyAlignment="1">
      <alignment horizontal="left" vertical="center"/>
    </xf>
    <xf numFmtId="49" fontId="14" fillId="0" borderId="1" xfId="0" applyNumberFormat="1" applyFont="1" applyBorder="1" applyAlignment="1">
      <alignment horizontal="center"/>
    </xf>
    <xf numFmtId="0" fontId="37" fillId="4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center"/>
    </xf>
    <xf numFmtId="0" fontId="0" fillId="0" borderId="37" xfId="0" applyBorder="1"/>
    <xf numFmtId="0" fontId="38" fillId="0" borderId="1" xfId="0" applyFont="1" applyBorder="1"/>
    <xf numFmtId="0" fontId="0" fillId="0" borderId="1" xfId="0" applyBorder="1" applyAlignment="1">
      <alignment horizontal="center"/>
    </xf>
    <xf numFmtId="0" fontId="18" fillId="2" borderId="1" xfId="0" applyFon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4" fillId="2" borderId="0" xfId="0" applyFont="1" applyFill="1" applyAlignment="1">
      <alignment horizontal="left" vertical="center"/>
    </xf>
    <xf numFmtId="1" fontId="36" fillId="2" borderId="0" xfId="0" applyNumberFormat="1" applyFont="1" applyFill="1" applyAlignment="1">
      <alignment horizontal="left" vertical="center"/>
    </xf>
    <xf numFmtId="167" fontId="4" fillId="2" borderId="1" xfId="0" applyNumberFormat="1" applyFont="1" applyFill="1" applyBorder="1" applyAlignment="1">
      <alignment horizontal="center" wrapText="1"/>
    </xf>
    <xf numFmtId="14" fontId="0" fillId="0" borderId="1" xfId="0" applyNumberFormat="1" applyBorder="1" applyAlignment="1">
      <alignment horizontal="left"/>
    </xf>
    <xf numFmtId="17" fontId="2" fillId="0" borderId="1" xfId="0" applyNumberFormat="1" applyFont="1" applyBorder="1"/>
    <xf numFmtId="0" fontId="39" fillId="4" borderId="1" xfId="0" applyFont="1" applyFill="1" applyBorder="1" applyAlignment="1">
      <alignment horizontal="left" vertical="center"/>
    </xf>
    <xf numFmtId="1" fontId="34" fillId="0" borderId="0" xfId="0" applyNumberFormat="1" applyFont="1" applyAlignment="1">
      <alignment horizontal="center"/>
    </xf>
    <xf numFmtId="0" fontId="9" fillId="0" borderId="1" xfId="0" applyFont="1" applyBorder="1" applyAlignment="1">
      <alignment horizontal="center"/>
    </xf>
    <xf numFmtId="170" fontId="34" fillId="0" borderId="0" xfId="0" applyNumberFormat="1" applyFont="1" applyAlignment="1">
      <alignment horizontal="center"/>
    </xf>
    <xf numFmtId="1" fontId="4" fillId="5" borderId="1" xfId="0" applyNumberFormat="1" applyFont="1" applyFill="1" applyBorder="1" applyAlignment="1">
      <alignment horizontal="left" wrapText="1"/>
    </xf>
    <xf numFmtId="1" fontId="34" fillId="0" borderId="0" xfId="0" applyNumberFormat="1" applyFont="1"/>
    <xf numFmtId="43" fontId="0" fillId="0" borderId="0" xfId="0" applyNumberFormat="1" applyAlignment="1">
      <alignment horizontal="center"/>
    </xf>
    <xf numFmtId="170" fontId="12" fillId="0" borderId="1" xfId="11" applyNumberFormat="1" applyFont="1" applyBorder="1" applyAlignment="1">
      <alignment horizontal="center" vertical="center"/>
    </xf>
    <xf numFmtId="0" fontId="36" fillId="2" borderId="0" xfId="0" applyFont="1" applyFill="1" applyAlignment="1">
      <alignment vertical="center"/>
    </xf>
    <xf numFmtId="1" fontId="4" fillId="2" borderId="0" xfId="0" applyNumberFormat="1" applyFont="1" applyFill="1" applyAlignment="1">
      <alignment horizontal="left" wrapText="1"/>
    </xf>
    <xf numFmtId="0" fontId="4" fillId="2" borderId="1" xfId="0" applyFont="1" applyFill="1" applyBorder="1" applyAlignment="1">
      <alignment wrapText="1"/>
    </xf>
    <xf numFmtId="49" fontId="4" fillId="2" borderId="1" xfId="0" applyNumberFormat="1" applyFont="1" applyFill="1" applyBorder="1" applyAlignment="1">
      <alignment horizontal="left" wrapText="1"/>
    </xf>
    <xf numFmtId="49" fontId="40" fillId="4" borderId="1" xfId="0" applyNumberFormat="1" applyFont="1" applyFill="1" applyBorder="1" applyAlignment="1">
      <alignment horizontal="center" vertical="center" wrapText="1"/>
    </xf>
    <xf numFmtId="0" fontId="40" fillId="4" borderId="1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left"/>
    </xf>
    <xf numFmtId="0" fontId="0" fillId="0" borderId="38" xfId="0" applyBorder="1"/>
    <xf numFmtId="1" fontId="0" fillId="0" borderId="0" xfId="0" applyNumberFormat="1" applyAlignment="1">
      <alignment horizontal="left"/>
    </xf>
    <xf numFmtId="1" fontId="1" fillId="0" borderId="0" xfId="0" applyNumberFormat="1" applyFont="1"/>
    <xf numFmtId="0" fontId="4" fillId="2" borderId="1" xfId="0" applyFont="1" applyFill="1" applyBorder="1" applyAlignment="1">
      <alignment horizontal="center" textRotation="90" wrapText="1"/>
    </xf>
    <xf numFmtId="14" fontId="4" fillId="2" borderId="1" xfId="0" applyNumberFormat="1" applyFont="1" applyFill="1" applyBorder="1" applyAlignment="1">
      <alignment horizontal="center" textRotation="90" wrapText="1"/>
    </xf>
    <xf numFmtId="0" fontId="1" fillId="2" borderId="1" xfId="0" applyFont="1" applyFill="1" applyBorder="1" applyAlignment="1">
      <alignment horizontal="left" wrapText="1"/>
    </xf>
    <xf numFmtId="0" fontId="15" fillId="9" borderId="40" xfId="0" applyFont="1" applyFill="1" applyBorder="1" applyAlignment="1">
      <alignment horizontal="center"/>
    </xf>
    <xf numFmtId="17" fontId="15" fillId="9" borderId="40" xfId="0" applyNumberFormat="1" applyFont="1" applyFill="1" applyBorder="1" applyAlignment="1">
      <alignment horizontal="center"/>
    </xf>
    <xf numFmtId="16" fontId="42" fillId="11" borderId="42" xfId="0" applyNumberFormat="1" applyFont="1" applyFill="1" applyBorder="1" applyAlignment="1">
      <alignment horizontal="center" vertical="center"/>
    </xf>
    <xf numFmtId="16" fontId="42" fillId="11" borderId="1" xfId="0" applyNumberFormat="1" applyFont="1" applyFill="1" applyBorder="1" applyAlignment="1">
      <alignment horizontal="center" vertical="center"/>
    </xf>
    <xf numFmtId="0" fontId="43" fillId="2" borderId="1" xfId="0" applyFont="1" applyFill="1" applyBorder="1" applyAlignment="1">
      <alignment horizontal="center" vertical="center"/>
    </xf>
    <xf numFmtId="14" fontId="14" fillId="0" borderId="1" xfId="0" applyNumberFormat="1" applyFont="1" applyBorder="1"/>
    <xf numFmtId="0" fontId="35" fillId="0" borderId="1" xfId="0" applyFont="1" applyBorder="1" applyAlignment="1">
      <alignment horizontal="center"/>
    </xf>
    <xf numFmtId="0" fontId="41" fillId="4" borderId="1" xfId="0" applyFont="1" applyFill="1" applyBorder="1" applyAlignment="1">
      <alignment horizontal="center"/>
    </xf>
    <xf numFmtId="14" fontId="41" fillId="4" borderId="1" xfId="0" applyNumberFormat="1" applyFont="1" applyFill="1" applyBorder="1" applyAlignment="1">
      <alignment horizontal="center" vertical="center"/>
    </xf>
    <xf numFmtId="0" fontId="38" fillId="2" borderId="1" xfId="2" applyFont="1" applyFill="1" applyBorder="1" applyAlignment="1">
      <alignment horizontal="center"/>
    </xf>
    <xf numFmtId="0" fontId="44" fillId="4" borderId="1" xfId="0" applyFont="1" applyFill="1" applyBorder="1" applyAlignment="1">
      <alignment horizontal="center" vertical="center"/>
    </xf>
    <xf numFmtId="0" fontId="38" fillId="2" borderId="1" xfId="4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/>
    </xf>
    <xf numFmtId="14" fontId="0" fillId="0" borderId="0" xfId="0" applyNumberFormat="1"/>
    <xf numFmtId="0" fontId="38" fillId="2" borderId="37" xfId="3" applyFont="1" applyFill="1" applyBorder="1" applyAlignment="1">
      <alignment horizontal="center"/>
    </xf>
    <xf numFmtId="0" fontId="38" fillId="2" borderId="37" xfId="2" applyFont="1" applyFill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4" fillId="3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vertical="center" wrapText="1"/>
    </xf>
    <xf numFmtId="49" fontId="15" fillId="2" borderId="1" xfId="10" applyNumberFormat="1" applyFont="1" applyFill="1" applyBorder="1" applyAlignment="1">
      <alignment vertical="center" wrapText="1"/>
    </xf>
    <xf numFmtId="0" fontId="15" fillId="2" borderId="1" xfId="10" applyFont="1" applyFill="1" applyBorder="1" applyAlignment="1">
      <alignment vertical="center" wrapText="1"/>
    </xf>
    <xf numFmtId="0" fontId="1" fillId="2" borderId="1" xfId="10" applyFont="1" applyFill="1" applyBorder="1" applyAlignment="1">
      <alignment horizontal="left" vertical="center" wrapText="1"/>
    </xf>
    <xf numFmtId="0" fontId="15" fillId="2" borderId="2" xfId="10" applyFont="1" applyFill="1" applyBorder="1" applyAlignment="1">
      <alignment vertical="center" wrapText="1"/>
    </xf>
    <xf numFmtId="0" fontId="15" fillId="2" borderId="1" xfId="8" applyFont="1" applyFill="1" applyBorder="1" applyAlignment="1">
      <alignment vertical="center" wrapText="1"/>
    </xf>
    <xf numFmtId="49" fontId="0" fillId="0" borderId="0" xfId="0" applyNumberFormat="1"/>
    <xf numFmtId="171" fontId="15" fillId="2" borderId="1" xfId="8" applyNumberFormat="1" applyFont="1" applyFill="1" applyBorder="1" applyAlignment="1">
      <alignment vertical="center" wrapText="1"/>
    </xf>
    <xf numFmtId="0" fontId="24" fillId="2" borderId="1" xfId="0" applyFont="1" applyFill="1" applyBorder="1" applyAlignment="1">
      <alignment horizontal="center" vertical="center" wrapText="1"/>
    </xf>
    <xf numFmtId="164" fontId="15" fillId="2" borderId="1" xfId="1" applyFont="1" applyFill="1" applyBorder="1" applyAlignment="1">
      <alignment vertical="center" wrapText="1"/>
    </xf>
    <xf numFmtId="0" fontId="42" fillId="2" borderId="1" xfId="0" applyFont="1" applyFill="1" applyBorder="1" applyAlignment="1">
      <alignment horizontal="left" vertical="center" wrapText="1"/>
    </xf>
    <xf numFmtId="172" fontId="15" fillId="2" borderId="1" xfId="1" applyNumberFormat="1" applyFont="1" applyFill="1" applyBorder="1" applyAlignment="1">
      <alignment vertical="center" wrapText="1"/>
    </xf>
    <xf numFmtId="0" fontId="14" fillId="0" borderId="1" xfId="0" quotePrefix="1" applyFont="1" applyBorder="1"/>
    <xf numFmtId="49" fontId="14" fillId="0" borderId="1" xfId="0" quotePrefix="1" applyNumberFormat="1" applyFont="1" applyBorder="1" applyAlignment="1">
      <alignment horizontal="center"/>
    </xf>
    <xf numFmtId="0" fontId="14" fillId="0" borderId="1" xfId="0" quotePrefix="1" applyFont="1" applyBorder="1" applyAlignment="1">
      <alignment horizontal="center"/>
    </xf>
    <xf numFmtId="0" fontId="33" fillId="2" borderId="1" xfId="0" quotePrefix="1" applyFont="1" applyFill="1" applyBorder="1" applyAlignment="1">
      <alignment horizontal="right"/>
    </xf>
    <xf numFmtId="1" fontId="0" fillId="0" borderId="1" xfId="0" quotePrefix="1" applyNumberFormat="1" applyBorder="1" applyAlignment="1">
      <alignment horizontal="left"/>
    </xf>
    <xf numFmtId="1" fontId="11" fillId="3" borderId="1" xfId="0" quotePrefix="1" applyNumberFormat="1" applyFont="1" applyFill="1" applyBorder="1" applyAlignment="1">
      <alignment horizontal="left" vertical="center"/>
    </xf>
    <xf numFmtId="0" fontId="11" fillId="3" borderId="1" xfId="0" quotePrefix="1" applyFont="1" applyFill="1" applyBorder="1" applyAlignment="1">
      <alignment horizontal="left" vertical="center"/>
    </xf>
    <xf numFmtId="1" fontId="11" fillId="0" borderId="1" xfId="0" quotePrefix="1" applyNumberFormat="1" applyFont="1" applyBorder="1" applyAlignment="1">
      <alignment horizontal="left" vertical="center"/>
    </xf>
    <xf numFmtId="0" fontId="11" fillId="0" borderId="1" xfId="0" quotePrefix="1" applyFont="1" applyBorder="1" applyAlignment="1">
      <alignment horizontal="left" vertical="center" readingOrder="1"/>
    </xf>
    <xf numFmtId="0" fontId="11" fillId="3" borderId="1" xfId="0" quotePrefix="1" applyFont="1" applyFill="1" applyBorder="1" applyAlignment="1">
      <alignment horizontal="left" vertical="center" readingOrder="1"/>
    </xf>
    <xf numFmtId="0" fontId="41" fillId="10" borderId="3" xfId="0" applyFont="1" applyFill="1" applyBorder="1" applyAlignment="1">
      <alignment horizontal="center" vertical="center"/>
    </xf>
    <xf numFmtId="0" fontId="41" fillId="10" borderId="38" xfId="0" applyFont="1" applyFill="1" applyBorder="1" applyAlignment="1">
      <alignment horizontal="center" vertical="center"/>
    </xf>
    <xf numFmtId="0" fontId="41" fillId="10" borderId="3" xfId="0" applyFont="1" applyFill="1" applyBorder="1" applyAlignment="1">
      <alignment horizontal="center" vertical="center" wrapText="1"/>
    </xf>
    <xf numFmtId="0" fontId="41" fillId="10" borderId="38" xfId="0" applyFont="1" applyFill="1" applyBorder="1" applyAlignment="1">
      <alignment horizontal="center" vertical="center" wrapText="1"/>
    </xf>
    <xf numFmtId="0" fontId="41" fillId="10" borderId="41" xfId="0" applyFont="1" applyFill="1" applyBorder="1" applyAlignment="1">
      <alignment horizontal="center" vertical="center"/>
    </xf>
    <xf numFmtId="0" fontId="41" fillId="9" borderId="3" xfId="0" applyFont="1" applyFill="1" applyBorder="1" applyAlignment="1">
      <alignment horizontal="center" vertical="center" wrapText="1"/>
    </xf>
    <xf numFmtId="0" fontId="41" fillId="9" borderId="38" xfId="0" applyFont="1" applyFill="1" applyBorder="1" applyAlignment="1">
      <alignment horizontal="center" vertical="center" wrapText="1"/>
    </xf>
    <xf numFmtId="0" fontId="35" fillId="8" borderId="37" xfId="0" applyFont="1" applyFill="1" applyBorder="1" applyAlignment="1">
      <alignment horizontal="center"/>
    </xf>
    <xf numFmtId="0" fontId="35" fillId="8" borderId="39" xfId="0" applyFont="1" applyFill="1" applyBorder="1" applyAlignment="1">
      <alignment horizontal="center"/>
    </xf>
    <xf numFmtId="0" fontId="35" fillId="8" borderId="2" xfId="0" applyFont="1" applyFill="1" applyBorder="1" applyAlignment="1">
      <alignment horizontal="center"/>
    </xf>
    <xf numFmtId="0" fontId="27" fillId="2" borderId="6" xfId="0" applyFont="1" applyFill="1" applyBorder="1" applyAlignment="1">
      <alignment horizontal="center"/>
    </xf>
    <xf numFmtId="0" fontId="14" fillId="2" borderId="0" xfId="0" applyFont="1" applyFill="1" applyAlignment="1">
      <alignment horizontal="center" vertical="center" wrapText="1"/>
    </xf>
    <xf numFmtId="0" fontId="28" fillId="2" borderId="36" xfId="0" applyFont="1" applyFill="1" applyBorder="1" applyAlignment="1">
      <alignment horizontal="center"/>
    </xf>
    <xf numFmtId="0" fontId="0" fillId="2" borderId="0" xfId="0" applyFill="1" applyAlignment="1">
      <alignment horizontal="left" vertical="center" wrapText="1"/>
    </xf>
    <xf numFmtId="0" fontId="33" fillId="2" borderId="0" xfId="0" applyFont="1" applyFill="1" applyAlignment="1">
      <alignment horizontal="left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21" fillId="0" borderId="9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21" fillId="2" borderId="33" xfId="0" applyFont="1" applyFill="1" applyBorder="1" applyAlignment="1">
      <alignment horizontal="left"/>
    </xf>
    <xf numFmtId="0" fontId="21" fillId="2" borderId="34" xfId="0" applyFont="1" applyFill="1" applyBorder="1" applyAlignment="1">
      <alignment horizontal="left"/>
    </xf>
    <xf numFmtId="0" fontId="21" fillId="2" borderId="35" xfId="0" applyFont="1" applyFill="1" applyBorder="1" applyAlignment="1">
      <alignment horizontal="left"/>
    </xf>
    <xf numFmtId="0" fontId="4" fillId="0" borderId="1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17" fillId="0" borderId="9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14" xfId="0" applyFont="1" applyBorder="1" applyAlignment="1">
      <alignment vertical="center"/>
    </xf>
    <xf numFmtId="0" fontId="17" fillId="0" borderId="15" xfId="0" applyFont="1" applyBorder="1" applyAlignment="1">
      <alignment vertical="center"/>
    </xf>
    <xf numFmtId="0" fontId="17" fillId="0" borderId="14" xfId="0" applyFont="1" applyBorder="1" applyAlignment="1">
      <alignment vertical="center" wrapText="1"/>
    </xf>
    <xf numFmtId="0" fontId="17" fillId="0" borderId="15" xfId="0" applyFont="1" applyBorder="1" applyAlignment="1">
      <alignment vertical="center" wrapText="1"/>
    </xf>
    <xf numFmtId="0" fontId="18" fillId="0" borderId="16" xfId="0" applyFont="1" applyBorder="1" applyAlignment="1">
      <alignment vertical="center"/>
    </xf>
    <xf numFmtId="0" fontId="18" fillId="0" borderId="7" xfId="0" applyFont="1" applyBorder="1" applyAlignment="1">
      <alignment vertical="center"/>
    </xf>
    <xf numFmtId="0" fontId="18" fillId="0" borderId="12" xfId="0" applyFont="1" applyBorder="1" applyAlignment="1">
      <alignment vertical="center"/>
    </xf>
    <xf numFmtId="0" fontId="18" fillId="0" borderId="13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18" fillId="0" borderId="15" xfId="0" applyFont="1" applyBorder="1" applyAlignment="1">
      <alignment vertical="center"/>
    </xf>
    <xf numFmtId="0" fontId="19" fillId="0" borderId="14" xfId="0" applyFont="1" applyBorder="1" applyAlignment="1">
      <alignment vertical="center"/>
    </xf>
    <xf numFmtId="0" fontId="19" fillId="0" borderId="15" xfId="0" applyFont="1" applyBorder="1" applyAlignment="1">
      <alignment vertical="center"/>
    </xf>
    <xf numFmtId="0" fontId="18" fillId="0" borderId="17" xfId="0" applyFont="1" applyBorder="1" applyAlignment="1">
      <alignment vertical="center"/>
    </xf>
    <xf numFmtId="0" fontId="17" fillId="0" borderId="5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8" fillId="0" borderId="5" xfId="0" applyFont="1" applyBorder="1" applyAlignment="1">
      <alignment vertical="center"/>
    </xf>
    <xf numFmtId="0" fontId="18" fillId="0" borderId="11" xfId="0" applyFont="1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</cellXfs>
  <cellStyles count="12">
    <cellStyle name="Bad" xfId="3" builtinId="27"/>
    <cellStyle name="Comma" xfId="1" builtinId="3"/>
    <cellStyle name="Good" xfId="2" builtinId="26"/>
    <cellStyle name="Good 2" xfId="5" xr:uid="{00000000-0005-0000-0000-000031000000}"/>
    <cellStyle name="Neutral" xfId="4" builtinId="28"/>
    <cellStyle name="Normal" xfId="0" builtinId="0"/>
    <cellStyle name="Normal 2" xfId="6" xr:uid="{00000000-0005-0000-0000-000032000000}"/>
    <cellStyle name="Normal 3" xfId="7" xr:uid="{00000000-0005-0000-0000-000033000000}"/>
    <cellStyle name="Normal 6" xfId="8" xr:uid="{00000000-0005-0000-0000-000034000000}"/>
    <cellStyle name="Normal 9" xfId="9" xr:uid="{00000000-0005-0000-0000-000035000000}"/>
    <cellStyle name="Normal_Labor Bill Format(1)" xfId="10" xr:uid="{00000000-0005-0000-0000-000036000000}"/>
    <cellStyle name="Normal_Sheet1" xfId="11" xr:uid="{00000000-0005-0000-0000-000037000000}"/>
  </cellStyles>
  <dxfs count="10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9525" cy="9525"/>
    <xdr:pic>
      <xdr:nvPicPr>
        <xdr:cNvPr id="2" name="Picture 1" descr="https://ssl.gstatic.com/ui/v1/icons/mail/images/cleardot.gif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97255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0</xdr:row>
      <xdr:rowOff>0</xdr:rowOff>
    </xdr:from>
    <xdr:ext cx="9525" cy="9525"/>
    <xdr:pic>
      <xdr:nvPicPr>
        <xdr:cNvPr id="81" name="Picture 80" descr="https://ssl.gstatic.com/ui/v1/icons/mail/images/cleardot.gif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43225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3</xdr:row>
      <xdr:rowOff>171451</xdr:rowOff>
    </xdr:from>
    <xdr:to>
      <xdr:col>1</xdr:col>
      <xdr:colOff>1152525</xdr:colOff>
      <xdr:row>7</xdr:row>
      <xdr:rowOff>114300</xdr:rowOff>
    </xdr:to>
    <xdr:pic>
      <xdr:nvPicPr>
        <xdr:cNvPr id="3" name="Picture 2" descr="C:\Users\uma\AppData\Local\Microsoft\Windows\Temporary Internet Files\Content.Word\Global_logo_New.jp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838200" y="752475"/>
          <a:ext cx="914400" cy="704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2</xdr:row>
      <xdr:rowOff>66676</xdr:rowOff>
    </xdr:from>
    <xdr:to>
      <xdr:col>1</xdr:col>
      <xdr:colOff>723899</xdr:colOff>
      <xdr:row>5</xdr:row>
      <xdr:rowOff>333376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457200"/>
          <a:ext cx="704215" cy="8382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ST-SGS/Desktop/SureshAddin.xl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jay%20Babu%20Chinnam/OneDrive/Desktop/Wage%20Sheet%20and%20Payslip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pellNumber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reshAddin"/>
    </sheetNames>
    <definedNames>
      <definedName name="rswords"/>
    </defined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age Sheet"/>
      <sheetName val="Pay Slips"/>
    </sheetNames>
    <sheetDataSet>
      <sheetData sheetId="0">
        <row r="2">
          <cell r="A2">
            <v>1</v>
          </cell>
          <cell r="E2" t="str">
            <v>VIJAYAWADA CPC</v>
          </cell>
          <cell r="F2" t="str">
            <v>100322637263</v>
          </cell>
          <cell r="G2" t="str">
            <v>6207159068</v>
          </cell>
          <cell r="H2" t="str">
            <v>SAMPARA SRINIVASA RAO</v>
          </cell>
          <cell r="I2" t="str">
            <v>Picker &amp; Allocator</v>
          </cell>
          <cell r="J2">
            <v>45444</v>
          </cell>
          <cell r="K2">
            <v>11072</v>
          </cell>
          <cell r="L2">
            <v>0</v>
          </cell>
          <cell r="M2">
            <v>0</v>
          </cell>
          <cell r="N2">
            <v>922</v>
          </cell>
          <cell r="O2">
            <v>1384</v>
          </cell>
          <cell r="P2">
            <v>30</v>
          </cell>
          <cell r="Q2">
            <v>27</v>
          </cell>
          <cell r="R2">
            <v>1</v>
          </cell>
          <cell r="S2">
            <v>0</v>
          </cell>
          <cell r="T2">
            <v>9964.7999999999993</v>
          </cell>
          <cell r="U2">
            <v>0</v>
          </cell>
          <cell r="V2">
            <v>0</v>
          </cell>
          <cell r="W2">
            <v>1245.5999999999999</v>
          </cell>
          <cell r="X2">
            <v>829.8</v>
          </cell>
          <cell r="Y2">
            <v>2208</v>
          </cell>
          <cell r="Z2">
            <v>14248.2</v>
          </cell>
          <cell r="AA2">
            <v>446</v>
          </cell>
          <cell r="AB2">
            <v>12040.2</v>
          </cell>
          <cell r="AC2">
            <v>90.301500000000004</v>
          </cell>
          <cell r="AD2">
            <v>391.30650000000003</v>
          </cell>
          <cell r="AE2">
            <v>9964.7999999999993</v>
          </cell>
          <cell r="AF2">
            <v>1195.7760000000001</v>
          </cell>
          <cell r="AG2">
            <v>1295.424</v>
          </cell>
          <cell r="AH2">
            <v>2.5</v>
          </cell>
          <cell r="AI2">
            <v>5.8333333333333304</v>
          </cell>
          <cell r="AJ2">
            <v>14248.2</v>
          </cell>
          <cell r="AK2">
            <v>0</v>
          </cell>
          <cell r="AL2">
            <v>1288.5775000000001</v>
          </cell>
          <cell r="AM2">
            <v>13406</v>
          </cell>
          <cell r="AN2">
            <v>1692.56383333333</v>
          </cell>
          <cell r="AO2">
            <v>15940.7638333333</v>
          </cell>
        </row>
        <row r="3">
          <cell r="A3">
            <v>2</v>
          </cell>
          <cell r="E3" t="str">
            <v>VIJAYAWADA CPC</v>
          </cell>
          <cell r="F3" t="str">
            <v>100715631678</v>
          </cell>
          <cell r="G3" t="str">
            <v>6207768588</v>
          </cell>
          <cell r="H3" t="str">
            <v>AKULA PRAMEELA RANI</v>
          </cell>
          <cell r="I3" t="str">
            <v>Picker &amp; Allocator</v>
          </cell>
          <cell r="J3">
            <v>45444</v>
          </cell>
          <cell r="K3">
            <v>11072</v>
          </cell>
          <cell r="L3">
            <v>0</v>
          </cell>
          <cell r="M3">
            <v>0</v>
          </cell>
          <cell r="N3">
            <v>922</v>
          </cell>
          <cell r="O3">
            <v>1384</v>
          </cell>
          <cell r="P3">
            <v>30</v>
          </cell>
          <cell r="Q3">
            <v>27</v>
          </cell>
          <cell r="S3">
            <v>0</v>
          </cell>
          <cell r="T3">
            <v>9964.7999999999993</v>
          </cell>
          <cell r="U3">
            <v>0</v>
          </cell>
          <cell r="V3">
            <v>0</v>
          </cell>
          <cell r="W3">
            <v>1245.5999999999999</v>
          </cell>
          <cell r="X3">
            <v>829.8</v>
          </cell>
          <cell r="Y3">
            <v>1776</v>
          </cell>
          <cell r="Z3">
            <v>13816.2</v>
          </cell>
          <cell r="AA3">
            <v>0</v>
          </cell>
          <cell r="AB3">
            <v>12040.2</v>
          </cell>
          <cell r="AC3">
            <v>90.301500000000004</v>
          </cell>
          <cell r="AD3">
            <v>391.30650000000003</v>
          </cell>
          <cell r="AE3">
            <v>9964.7999999999993</v>
          </cell>
          <cell r="AF3">
            <v>1195.7760000000001</v>
          </cell>
          <cell r="AG3">
            <v>1295.424</v>
          </cell>
          <cell r="AH3">
            <v>2.5</v>
          </cell>
          <cell r="AI3">
            <v>5.8333333333333304</v>
          </cell>
          <cell r="AJ3">
            <v>13816.2</v>
          </cell>
          <cell r="AK3">
            <v>0</v>
          </cell>
          <cell r="AL3">
            <v>1288.5775000000001</v>
          </cell>
          <cell r="AM3">
            <v>12528</v>
          </cell>
          <cell r="AN3">
            <v>1692.56383333333</v>
          </cell>
          <cell r="AO3">
            <v>15508.7638333333</v>
          </cell>
        </row>
        <row r="4">
          <cell r="A4">
            <v>3</v>
          </cell>
          <cell r="E4" t="str">
            <v>VIJAYAWADA CPC</v>
          </cell>
          <cell r="F4" t="str">
            <v>101491638908</v>
          </cell>
          <cell r="G4" t="str">
            <v>6208822743</v>
          </cell>
          <cell r="H4" t="str">
            <v>GARIKIPATI SRIDEVI</v>
          </cell>
          <cell r="I4" t="str">
            <v>Helper/HK</v>
          </cell>
          <cell r="J4">
            <v>45444</v>
          </cell>
          <cell r="K4">
            <v>10670</v>
          </cell>
          <cell r="L4">
            <v>0</v>
          </cell>
          <cell r="M4">
            <v>0</v>
          </cell>
          <cell r="N4">
            <v>889</v>
          </cell>
          <cell r="O4">
            <v>1334</v>
          </cell>
          <cell r="P4">
            <v>30</v>
          </cell>
          <cell r="Q4">
            <v>23</v>
          </cell>
          <cell r="S4">
            <v>0</v>
          </cell>
          <cell r="T4">
            <v>8180.3333333333303</v>
          </cell>
          <cell r="U4">
            <v>0</v>
          </cell>
          <cell r="V4">
            <v>0</v>
          </cell>
          <cell r="W4">
            <v>1022.7333333333301</v>
          </cell>
          <cell r="X4">
            <v>681.56666666666695</v>
          </cell>
          <cell r="Y4">
            <v>281</v>
          </cell>
          <cell r="Z4">
            <v>10165.6333333333</v>
          </cell>
          <cell r="AA4">
            <v>0</v>
          </cell>
          <cell r="AB4">
            <v>9884.6333333333296</v>
          </cell>
          <cell r="AC4">
            <v>74.134749999999997</v>
          </cell>
          <cell r="AD4">
            <v>321.250583333333</v>
          </cell>
          <cell r="AE4">
            <v>8180.3333333333303</v>
          </cell>
          <cell r="AF4">
            <v>981.64</v>
          </cell>
          <cell r="AG4">
            <v>1063.44333333333</v>
          </cell>
          <cell r="AH4">
            <v>2.5</v>
          </cell>
          <cell r="AI4">
            <v>5.8333333333333304</v>
          </cell>
          <cell r="AJ4">
            <v>10165.6333333333</v>
          </cell>
          <cell r="AK4">
            <v>0</v>
          </cell>
          <cell r="AL4">
            <v>1058.27475</v>
          </cell>
          <cell r="AM4">
            <v>9107</v>
          </cell>
          <cell r="AN4">
            <v>1390.5272500000001</v>
          </cell>
          <cell r="AO4">
            <v>11556.1605833333</v>
          </cell>
        </row>
        <row r="5">
          <cell r="A5">
            <v>4</v>
          </cell>
          <cell r="E5" t="str">
            <v>VIJAYAWADA CPC</v>
          </cell>
          <cell r="F5" t="str">
            <v>101630193737</v>
          </cell>
          <cell r="G5" t="str">
            <v>6209123274</v>
          </cell>
          <cell r="H5" t="str">
            <v>MANGAPATLA PURNA SAI</v>
          </cell>
          <cell r="I5" t="str">
            <v>Supervisor</v>
          </cell>
          <cell r="J5">
            <v>45444</v>
          </cell>
          <cell r="K5">
            <v>11692</v>
          </cell>
          <cell r="L5">
            <v>0</v>
          </cell>
          <cell r="M5">
            <v>0</v>
          </cell>
          <cell r="N5">
            <v>974</v>
          </cell>
          <cell r="O5">
            <v>1462</v>
          </cell>
          <cell r="P5">
            <v>30</v>
          </cell>
          <cell r="Q5">
            <v>30</v>
          </cell>
          <cell r="S5">
            <v>0</v>
          </cell>
          <cell r="T5">
            <v>11692</v>
          </cell>
          <cell r="U5">
            <v>0</v>
          </cell>
          <cell r="V5">
            <v>0</v>
          </cell>
          <cell r="W5">
            <v>1462</v>
          </cell>
          <cell r="X5">
            <v>974</v>
          </cell>
          <cell r="Y5">
            <v>5983</v>
          </cell>
          <cell r="Z5">
            <v>20111</v>
          </cell>
          <cell r="AA5">
            <v>0</v>
          </cell>
          <cell r="AB5">
            <v>14128</v>
          </cell>
          <cell r="AC5">
            <v>105.96</v>
          </cell>
          <cell r="AD5">
            <v>459.16</v>
          </cell>
          <cell r="AE5">
            <v>11692</v>
          </cell>
          <cell r="AF5">
            <v>1403.04</v>
          </cell>
          <cell r="AG5">
            <v>1519.96</v>
          </cell>
          <cell r="AH5">
            <v>2.5</v>
          </cell>
          <cell r="AI5">
            <v>5.8333333333333304</v>
          </cell>
          <cell r="AJ5">
            <v>20111</v>
          </cell>
          <cell r="AK5">
            <v>200</v>
          </cell>
          <cell r="AL5">
            <v>1711.5</v>
          </cell>
          <cell r="AM5">
            <v>18400</v>
          </cell>
          <cell r="AN5">
            <v>1984.95333333333</v>
          </cell>
          <cell r="AO5">
            <v>22095.953333333298</v>
          </cell>
        </row>
        <row r="6">
          <cell r="A6">
            <v>5</v>
          </cell>
          <cell r="E6" t="str">
            <v>VIJAYAWADA CPC</v>
          </cell>
          <cell r="F6" t="str">
            <v>101649416312</v>
          </cell>
          <cell r="G6" t="str">
            <v>6209164995</v>
          </cell>
          <cell r="H6" t="str">
            <v>GUBBALA SOWJANYA</v>
          </cell>
          <cell r="I6" t="str">
            <v>Helper/HK</v>
          </cell>
          <cell r="J6">
            <v>45444</v>
          </cell>
          <cell r="K6">
            <v>10670</v>
          </cell>
          <cell r="L6">
            <v>0</v>
          </cell>
          <cell r="M6">
            <v>0</v>
          </cell>
          <cell r="N6">
            <v>889</v>
          </cell>
          <cell r="O6">
            <v>1334</v>
          </cell>
          <cell r="P6">
            <v>30</v>
          </cell>
          <cell r="Q6">
            <v>20</v>
          </cell>
          <cell r="S6">
            <v>0</v>
          </cell>
          <cell r="T6">
            <v>7113.3333333333303</v>
          </cell>
          <cell r="U6">
            <v>0</v>
          </cell>
          <cell r="V6">
            <v>0</v>
          </cell>
          <cell r="W6">
            <v>889.33333333333303</v>
          </cell>
          <cell r="X6">
            <v>592.66666666666697</v>
          </cell>
          <cell r="Y6">
            <v>217</v>
          </cell>
          <cell r="Z6">
            <v>8812.3333333333303</v>
          </cell>
          <cell r="AA6">
            <v>0</v>
          </cell>
          <cell r="AB6">
            <v>8595.3333333333303</v>
          </cell>
          <cell r="AC6">
            <v>64.465000000000003</v>
          </cell>
          <cell r="AD6">
            <v>279.34833333333302</v>
          </cell>
          <cell r="AE6">
            <v>7113.3333333333303</v>
          </cell>
          <cell r="AF6">
            <v>853.6</v>
          </cell>
          <cell r="AG6">
            <v>924.73333333333301</v>
          </cell>
          <cell r="AH6">
            <v>2.5</v>
          </cell>
          <cell r="AI6">
            <v>5.8333333333333304</v>
          </cell>
          <cell r="AJ6">
            <v>8812.3333333333303</v>
          </cell>
          <cell r="AK6">
            <v>0</v>
          </cell>
          <cell r="AL6">
            <v>920.56500000000005</v>
          </cell>
          <cell r="AM6">
            <v>7892</v>
          </cell>
          <cell r="AN6">
            <v>1209.915</v>
          </cell>
          <cell r="AO6">
            <v>10022.2483333333</v>
          </cell>
        </row>
        <row r="7">
          <cell r="A7">
            <v>6</v>
          </cell>
          <cell r="E7" t="str">
            <v>VIJAYAWADA CPC</v>
          </cell>
          <cell r="F7" t="str">
            <v>101448338625</v>
          </cell>
          <cell r="G7" t="str">
            <v>6209645316</v>
          </cell>
          <cell r="H7" t="str">
            <v>PARISI SATYA NARAYANA</v>
          </cell>
          <cell r="I7" t="str">
            <v>Helper/HK</v>
          </cell>
          <cell r="J7">
            <v>45444</v>
          </cell>
          <cell r="K7">
            <v>10670</v>
          </cell>
          <cell r="L7">
            <v>0</v>
          </cell>
          <cell r="M7">
            <v>0</v>
          </cell>
          <cell r="N7">
            <v>889</v>
          </cell>
          <cell r="O7">
            <v>1334</v>
          </cell>
          <cell r="P7">
            <v>30</v>
          </cell>
          <cell r="Q7">
            <v>29</v>
          </cell>
          <cell r="S7">
            <v>0</v>
          </cell>
          <cell r="T7">
            <v>10314.333333333299</v>
          </cell>
          <cell r="U7">
            <v>0</v>
          </cell>
          <cell r="V7">
            <v>0</v>
          </cell>
          <cell r="W7">
            <v>1289.5333333333299</v>
          </cell>
          <cell r="X7">
            <v>859.36666666666702</v>
          </cell>
          <cell r="Y7">
            <v>470</v>
          </cell>
          <cell r="Z7">
            <v>12933.233333333301</v>
          </cell>
          <cell r="AA7">
            <v>0</v>
          </cell>
          <cell r="AB7">
            <v>12463.233333333301</v>
          </cell>
          <cell r="AC7">
            <v>93.474249999999998</v>
          </cell>
          <cell r="AD7">
            <v>405.05508333333302</v>
          </cell>
          <cell r="AE7">
            <v>10314.333333333299</v>
          </cell>
          <cell r="AF7">
            <v>1237.72</v>
          </cell>
          <cell r="AG7">
            <v>1340.86333333333</v>
          </cell>
          <cell r="AH7">
            <v>2.5</v>
          </cell>
          <cell r="AI7">
            <v>5.8333333333333304</v>
          </cell>
          <cell r="AJ7">
            <v>12933.233333333301</v>
          </cell>
          <cell r="AK7">
            <v>0</v>
          </cell>
          <cell r="AL7">
            <v>1333.69425</v>
          </cell>
          <cell r="AM7">
            <v>11600</v>
          </cell>
          <cell r="AN7">
            <v>1751.7517499999999</v>
          </cell>
          <cell r="AO7">
            <v>14684.9850833333</v>
          </cell>
        </row>
        <row r="8">
          <cell r="A8">
            <v>7</v>
          </cell>
          <cell r="E8" t="str">
            <v>VIJAYAWADA CPC</v>
          </cell>
          <cell r="F8" t="str">
            <v>101845726618</v>
          </cell>
          <cell r="G8" t="str">
            <v>6209645431</v>
          </cell>
          <cell r="H8" t="str">
            <v>BOLEM NAGARAJU</v>
          </cell>
          <cell r="I8" t="str">
            <v>Helper/HK</v>
          </cell>
          <cell r="J8">
            <v>45444</v>
          </cell>
          <cell r="K8">
            <v>10670</v>
          </cell>
          <cell r="L8">
            <v>0</v>
          </cell>
          <cell r="M8">
            <v>0</v>
          </cell>
          <cell r="N8">
            <v>889</v>
          </cell>
          <cell r="O8">
            <v>1334</v>
          </cell>
          <cell r="P8">
            <v>30</v>
          </cell>
          <cell r="Q8">
            <v>25</v>
          </cell>
          <cell r="S8">
            <v>0</v>
          </cell>
          <cell r="T8">
            <v>8891.6666666666697</v>
          </cell>
          <cell r="U8">
            <v>0</v>
          </cell>
          <cell r="V8">
            <v>0</v>
          </cell>
          <cell r="W8">
            <v>1111.6666666666699</v>
          </cell>
          <cell r="X8">
            <v>740.83333333333303</v>
          </cell>
          <cell r="Y8">
            <v>1156</v>
          </cell>
          <cell r="Z8">
            <v>11900.166666666701</v>
          </cell>
          <cell r="AA8">
            <v>0</v>
          </cell>
          <cell r="AB8">
            <v>10744.166666666701</v>
          </cell>
          <cell r="AC8">
            <v>80.581249999999997</v>
          </cell>
          <cell r="AD8">
            <v>349.18541666666698</v>
          </cell>
          <cell r="AE8">
            <v>8891.6666666666697</v>
          </cell>
          <cell r="AF8">
            <v>1067</v>
          </cell>
          <cell r="AG8">
            <v>1155.9166666666699</v>
          </cell>
          <cell r="AH8">
            <v>2.5</v>
          </cell>
          <cell r="AI8">
            <v>5.8333333333333304</v>
          </cell>
          <cell r="AJ8">
            <v>11900.166666666701</v>
          </cell>
          <cell r="AK8">
            <v>0</v>
          </cell>
          <cell r="AL8">
            <v>1150.08125</v>
          </cell>
          <cell r="AM8">
            <v>10750</v>
          </cell>
          <cell r="AN8">
            <v>1510.9354166666701</v>
          </cell>
          <cell r="AO8">
            <v>13411.1020833333</v>
          </cell>
        </row>
        <row r="9">
          <cell r="A9">
            <v>8</v>
          </cell>
          <cell r="E9" t="str">
            <v>VIJAYAWADA CPC</v>
          </cell>
          <cell r="F9" t="str">
            <v>101854888359</v>
          </cell>
          <cell r="G9" t="str">
            <v>6209665114</v>
          </cell>
          <cell r="H9" t="str">
            <v>PALLAPOTHU SAI KEERTHANA</v>
          </cell>
          <cell r="I9" t="str">
            <v>DEO</v>
          </cell>
          <cell r="J9">
            <v>45444</v>
          </cell>
          <cell r="K9">
            <v>11692</v>
          </cell>
          <cell r="L9">
            <v>0</v>
          </cell>
          <cell r="M9">
            <v>0</v>
          </cell>
          <cell r="N9">
            <v>974</v>
          </cell>
          <cell r="O9">
            <v>1462</v>
          </cell>
          <cell r="P9">
            <v>30</v>
          </cell>
          <cell r="Q9">
            <v>28</v>
          </cell>
          <cell r="S9">
            <v>0</v>
          </cell>
          <cell r="T9">
            <v>10912.5333333333</v>
          </cell>
          <cell r="U9">
            <v>0</v>
          </cell>
          <cell r="V9">
            <v>0</v>
          </cell>
          <cell r="W9">
            <v>1364.5333333333299</v>
          </cell>
          <cell r="X9">
            <v>909.06666666666695</v>
          </cell>
          <cell r="Y9">
            <v>1665</v>
          </cell>
          <cell r="Z9">
            <v>14851.1333333333</v>
          </cell>
          <cell r="AA9">
            <v>0</v>
          </cell>
          <cell r="AB9">
            <v>13186.1333333333</v>
          </cell>
          <cell r="AC9">
            <v>98.896000000000001</v>
          </cell>
          <cell r="AD9">
            <v>428.54933333333298</v>
          </cell>
          <cell r="AE9">
            <v>10912.5333333333</v>
          </cell>
          <cell r="AF9">
            <v>1309.5039999999999</v>
          </cell>
          <cell r="AG9">
            <v>1418.6293333333299</v>
          </cell>
          <cell r="AH9">
            <v>2.5</v>
          </cell>
          <cell r="AI9">
            <v>5.8333333333333304</v>
          </cell>
          <cell r="AJ9">
            <v>14851.1333333333</v>
          </cell>
          <cell r="AK9">
            <v>0</v>
          </cell>
          <cell r="AL9">
            <v>1410.9</v>
          </cell>
          <cell r="AM9">
            <v>13440</v>
          </cell>
          <cell r="AN9">
            <v>1853.0119999999999</v>
          </cell>
          <cell r="AO9">
            <v>16704.145333333301</v>
          </cell>
        </row>
        <row r="10">
          <cell r="A10">
            <v>9</v>
          </cell>
          <cell r="E10" t="str">
            <v>VIJAYAWADA CPC</v>
          </cell>
          <cell r="F10" t="str">
            <v>101857268237</v>
          </cell>
          <cell r="G10" t="str">
            <v>6209672857</v>
          </cell>
          <cell r="H10" t="str">
            <v>VADDEPALLI VAMSI</v>
          </cell>
          <cell r="I10" t="str">
            <v>Supervisor</v>
          </cell>
          <cell r="J10">
            <v>45444</v>
          </cell>
          <cell r="K10">
            <v>11692</v>
          </cell>
          <cell r="L10">
            <v>0</v>
          </cell>
          <cell r="M10">
            <v>0</v>
          </cell>
          <cell r="N10">
            <v>974</v>
          </cell>
          <cell r="O10">
            <v>1462</v>
          </cell>
          <cell r="P10">
            <v>30</v>
          </cell>
          <cell r="Q10">
            <v>30</v>
          </cell>
          <cell r="S10">
            <v>0</v>
          </cell>
          <cell r="T10">
            <v>11692</v>
          </cell>
          <cell r="U10">
            <v>0</v>
          </cell>
          <cell r="V10">
            <v>0</v>
          </cell>
          <cell r="W10">
            <v>1462</v>
          </cell>
          <cell r="X10">
            <v>974</v>
          </cell>
          <cell r="Y10">
            <v>2563</v>
          </cell>
          <cell r="Z10">
            <v>16691</v>
          </cell>
          <cell r="AA10">
            <v>0</v>
          </cell>
          <cell r="AB10">
            <v>14128</v>
          </cell>
          <cell r="AC10">
            <v>105.96</v>
          </cell>
          <cell r="AD10">
            <v>459.16</v>
          </cell>
          <cell r="AE10">
            <v>11692</v>
          </cell>
          <cell r="AF10">
            <v>1403.04</v>
          </cell>
          <cell r="AG10">
            <v>1519.96</v>
          </cell>
          <cell r="AH10">
            <v>2.5</v>
          </cell>
          <cell r="AI10">
            <v>5.8333333333333304</v>
          </cell>
          <cell r="AJ10">
            <v>16691</v>
          </cell>
          <cell r="AK10">
            <v>150</v>
          </cell>
          <cell r="AL10">
            <v>1661.5</v>
          </cell>
          <cell r="AM10">
            <v>15030</v>
          </cell>
          <cell r="AN10">
            <v>1984.95333333333</v>
          </cell>
          <cell r="AO10">
            <v>18675.953333333298</v>
          </cell>
        </row>
        <row r="11">
          <cell r="A11">
            <v>10</v>
          </cell>
          <cell r="E11" t="str">
            <v>VIJAYAWADA CPC</v>
          </cell>
          <cell r="F11" t="str">
            <v>101857275991</v>
          </cell>
          <cell r="G11" t="str">
            <v>6209672888</v>
          </cell>
          <cell r="H11" t="str">
            <v>KALAPALA SRUJANA</v>
          </cell>
          <cell r="I11" t="str">
            <v>Helper/HK</v>
          </cell>
          <cell r="J11">
            <v>45444</v>
          </cell>
          <cell r="K11">
            <v>10670</v>
          </cell>
          <cell r="L11">
            <v>0</v>
          </cell>
          <cell r="M11">
            <v>0</v>
          </cell>
          <cell r="N11">
            <v>889</v>
          </cell>
          <cell r="O11">
            <v>1334</v>
          </cell>
          <cell r="P11">
            <v>30</v>
          </cell>
          <cell r="Q11">
            <v>20</v>
          </cell>
          <cell r="S11">
            <v>0</v>
          </cell>
          <cell r="T11">
            <v>7113.3333333333303</v>
          </cell>
          <cell r="U11">
            <v>0</v>
          </cell>
          <cell r="V11">
            <v>0</v>
          </cell>
          <cell r="W11">
            <v>889.33333333333303</v>
          </cell>
          <cell r="X11">
            <v>592.66666666666697</v>
          </cell>
          <cell r="Y11">
            <v>217</v>
          </cell>
          <cell r="Z11">
            <v>8812.3333333333303</v>
          </cell>
          <cell r="AA11">
            <v>0</v>
          </cell>
          <cell r="AB11">
            <v>8595.3333333333303</v>
          </cell>
          <cell r="AC11">
            <v>64.465000000000003</v>
          </cell>
          <cell r="AD11">
            <v>279.34833333333302</v>
          </cell>
          <cell r="AE11">
            <v>7113.3333333333303</v>
          </cell>
          <cell r="AF11">
            <v>853.6</v>
          </cell>
          <cell r="AG11">
            <v>924.73333333333301</v>
          </cell>
          <cell r="AH11">
            <v>2.5</v>
          </cell>
          <cell r="AI11">
            <v>5.8333333333333304</v>
          </cell>
          <cell r="AJ11">
            <v>8812.3333333333303</v>
          </cell>
          <cell r="AK11">
            <v>0</v>
          </cell>
          <cell r="AL11">
            <v>920.56500000000005</v>
          </cell>
          <cell r="AM11">
            <v>7892</v>
          </cell>
          <cell r="AN11">
            <v>1209.915</v>
          </cell>
          <cell r="AO11">
            <v>10022.2483333333</v>
          </cell>
        </row>
        <row r="12">
          <cell r="A12">
            <v>11</v>
          </cell>
          <cell r="E12" t="str">
            <v>VIJAYAWADA CPC</v>
          </cell>
          <cell r="F12" t="str">
            <v>101899989596</v>
          </cell>
          <cell r="G12" t="str">
            <v>6209784172</v>
          </cell>
          <cell r="H12" t="str">
            <v>JAMMI ARUNA</v>
          </cell>
          <cell r="I12" t="str">
            <v>Helper/HK</v>
          </cell>
          <cell r="J12">
            <v>45444</v>
          </cell>
          <cell r="K12">
            <v>10670</v>
          </cell>
          <cell r="L12">
            <v>0</v>
          </cell>
          <cell r="M12">
            <v>0</v>
          </cell>
          <cell r="N12">
            <v>889</v>
          </cell>
          <cell r="O12">
            <v>1334</v>
          </cell>
          <cell r="P12">
            <v>30</v>
          </cell>
          <cell r="Q12">
            <v>19</v>
          </cell>
          <cell r="S12">
            <v>0</v>
          </cell>
          <cell r="T12">
            <v>6757.6666666666697</v>
          </cell>
          <cell r="U12">
            <v>0</v>
          </cell>
          <cell r="V12">
            <v>0</v>
          </cell>
          <cell r="W12">
            <v>844.86666666666702</v>
          </cell>
          <cell r="X12">
            <v>563.03333333333296</v>
          </cell>
          <cell r="Y12">
            <v>0</v>
          </cell>
          <cell r="Z12">
            <v>8165.5666666666702</v>
          </cell>
          <cell r="AA12">
            <v>0</v>
          </cell>
          <cell r="AB12">
            <v>8165.5666666666702</v>
          </cell>
          <cell r="AC12">
            <v>61.241750000000003</v>
          </cell>
          <cell r="AD12">
            <v>265.38091666666702</v>
          </cell>
          <cell r="AE12">
            <v>6757.6666666666697</v>
          </cell>
          <cell r="AF12">
            <v>810.92</v>
          </cell>
          <cell r="AG12">
            <v>878.49666666666701</v>
          </cell>
          <cell r="AH12">
            <v>2.5</v>
          </cell>
          <cell r="AI12">
            <v>5.8333333333333304</v>
          </cell>
          <cell r="AJ12">
            <v>8165.5666666666702</v>
          </cell>
          <cell r="AK12">
            <v>0</v>
          </cell>
          <cell r="AL12">
            <v>874.66174999999998</v>
          </cell>
          <cell r="AM12">
            <v>7291</v>
          </cell>
          <cell r="AN12">
            <v>1149.7109166666701</v>
          </cell>
          <cell r="AO12">
            <v>9315.2775833333308</v>
          </cell>
        </row>
        <row r="13">
          <cell r="A13">
            <v>12</v>
          </cell>
          <cell r="E13" t="str">
            <v>VIJAYAWADA CPC</v>
          </cell>
          <cell r="F13" t="str">
            <v>101784652835</v>
          </cell>
          <cell r="G13" t="str">
            <v>6209499460</v>
          </cell>
          <cell r="H13" t="str">
            <v>GURIVINDUGUNTA CHANTI</v>
          </cell>
          <cell r="I13" t="str">
            <v>Helper/HK</v>
          </cell>
          <cell r="J13">
            <v>45444</v>
          </cell>
          <cell r="K13">
            <v>10670</v>
          </cell>
          <cell r="L13">
            <v>0</v>
          </cell>
          <cell r="M13">
            <v>0</v>
          </cell>
          <cell r="N13">
            <v>889</v>
          </cell>
          <cell r="O13">
            <v>1334</v>
          </cell>
          <cell r="P13">
            <v>30</v>
          </cell>
          <cell r="Q13">
            <v>19</v>
          </cell>
          <cell r="S13">
            <v>0</v>
          </cell>
          <cell r="T13">
            <v>6757.6666666666697</v>
          </cell>
          <cell r="U13">
            <v>0</v>
          </cell>
          <cell r="V13">
            <v>0</v>
          </cell>
          <cell r="W13">
            <v>844.86666666666702</v>
          </cell>
          <cell r="X13">
            <v>563.03333333333296</v>
          </cell>
          <cell r="Y13">
            <v>298</v>
          </cell>
          <cell r="Z13">
            <v>8463.5666666666693</v>
          </cell>
          <cell r="AA13">
            <v>0</v>
          </cell>
          <cell r="AB13">
            <v>8165.5666666666702</v>
          </cell>
          <cell r="AC13">
            <v>61.241750000000003</v>
          </cell>
          <cell r="AD13">
            <v>265.38091666666702</v>
          </cell>
          <cell r="AE13">
            <v>6757.6666666666697</v>
          </cell>
          <cell r="AF13">
            <v>810.92</v>
          </cell>
          <cell r="AG13">
            <v>878.49666666666701</v>
          </cell>
          <cell r="AH13">
            <v>2.5</v>
          </cell>
          <cell r="AI13">
            <v>5.8333333333333304</v>
          </cell>
          <cell r="AJ13">
            <v>8463.5666666666693</v>
          </cell>
          <cell r="AK13">
            <v>0</v>
          </cell>
          <cell r="AL13">
            <v>874.66174999999998</v>
          </cell>
          <cell r="AM13">
            <v>7589</v>
          </cell>
          <cell r="AN13">
            <v>1149.7109166666701</v>
          </cell>
          <cell r="AO13">
            <v>9613.2775833333308</v>
          </cell>
        </row>
        <row r="14">
          <cell r="A14">
            <v>13</v>
          </cell>
          <cell r="E14" t="str">
            <v>VIJAYAWADA CPC</v>
          </cell>
          <cell r="F14" t="str">
            <v>100987121201</v>
          </cell>
          <cell r="G14" t="str">
            <v>6209892722</v>
          </cell>
          <cell r="H14" t="str">
            <v>GANJARAPALLI SRI MAHALAKSHMI</v>
          </cell>
          <cell r="I14" t="str">
            <v>DEO</v>
          </cell>
          <cell r="J14">
            <v>45444</v>
          </cell>
          <cell r="K14">
            <v>11692</v>
          </cell>
          <cell r="L14">
            <v>0</v>
          </cell>
          <cell r="M14">
            <v>0</v>
          </cell>
          <cell r="N14">
            <v>974</v>
          </cell>
          <cell r="O14">
            <v>1462</v>
          </cell>
          <cell r="P14">
            <v>30</v>
          </cell>
          <cell r="Q14">
            <v>25</v>
          </cell>
          <cell r="S14">
            <v>0</v>
          </cell>
          <cell r="T14">
            <v>9743.3333333333303</v>
          </cell>
          <cell r="U14">
            <v>0</v>
          </cell>
          <cell r="V14">
            <v>0</v>
          </cell>
          <cell r="W14">
            <v>1218.3333333333301</v>
          </cell>
          <cell r="X14">
            <v>811.66666666666697</v>
          </cell>
          <cell r="Y14">
            <v>67</v>
          </cell>
          <cell r="Z14">
            <v>11840.333333333299</v>
          </cell>
          <cell r="AA14">
            <v>0</v>
          </cell>
          <cell r="AB14">
            <v>11773.333333333299</v>
          </cell>
          <cell r="AC14">
            <v>88.3</v>
          </cell>
          <cell r="AD14">
            <v>382.63333333333298</v>
          </cell>
          <cell r="AE14">
            <v>9743.3333333333303</v>
          </cell>
          <cell r="AF14">
            <v>1169.2</v>
          </cell>
          <cell r="AG14">
            <v>1266.63333333333</v>
          </cell>
          <cell r="AH14">
            <v>2.5</v>
          </cell>
          <cell r="AI14">
            <v>5.8333333333333304</v>
          </cell>
          <cell r="AJ14">
            <v>11840.333333333299</v>
          </cell>
          <cell r="AK14">
            <v>0</v>
          </cell>
          <cell r="AL14">
            <v>1260</v>
          </cell>
          <cell r="AM14">
            <v>10580</v>
          </cell>
          <cell r="AN14">
            <v>1655.1</v>
          </cell>
          <cell r="AO14">
            <v>13495.4333333333</v>
          </cell>
        </row>
        <row r="15">
          <cell r="A15">
            <v>14</v>
          </cell>
          <cell r="E15" t="str">
            <v>VIJAYAWADA CPC</v>
          </cell>
          <cell r="F15" t="str">
            <v>101782607098</v>
          </cell>
          <cell r="G15" t="str">
            <v>6209893554</v>
          </cell>
          <cell r="H15" t="str">
            <v>YANDRAPU SAVITRI</v>
          </cell>
          <cell r="I15" t="str">
            <v>Helper/HK</v>
          </cell>
          <cell r="J15">
            <v>45444</v>
          </cell>
          <cell r="K15">
            <v>10670</v>
          </cell>
          <cell r="L15">
            <v>0</v>
          </cell>
          <cell r="M15">
            <v>0</v>
          </cell>
          <cell r="N15">
            <v>889</v>
          </cell>
          <cell r="O15">
            <v>1334</v>
          </cell>
          <cell r="P15">
            <v>30</v>
          </cell>
          <cell r="Q15">
            <v>15</v>
          </cell>
          <cell r="S15">
            <v>0</v>
          </cell>
          <cell r="T15">
            <v>5335</v>
          </cell>
          <cell r="U15">
            <v>0</v>
          </cell>
          <cell r="V15">
            <v>0</v>
          </cell>
          <cell r="W15">
            <v>667</v>
          </cell>
          <cell r="X15">
            <v>444.5</v>
          </cell>
          <cell r="Y15">
            <v>316</v>
          </cell>
          <cell r="Z15">
            <v>6762.5</v>
          </cell>
          <cell r="AA15">
            <v>0</v>
          </cell>
          <cell r="AB15">
            <v>6446.5</v>
          </cell>
          <cell r="AC15">
            <v>48.348750000000003</v>
          </cell>
          <cell r="AD15">
            <v>209.51124999999999</v>
          </cell>
          <cell r="AE15">
            <v>5335</v>
          </cell>
          <cell r="AF15">
            <v>640.20000000000005</v>
          </cell>
          <cell r="AG15">
            <v>693.55</v>
          </cell>
          <cell r="AH15">
            <v>2.5</v>
          </cell>
          <cell r="AI15">
            <v>5.8333333333333304</v>
          </cell>
          <cell r="AJ15">
            <v>6762.5</v>
          </cell>
          <cell r="AK15">
            <v>0</v>
          </cell>
          <cell r="AL15">
            <v>691.04875000000004</v>
          </cell>
          <cell r="AM15">
            <v>6071</v>
          </cell>
          <cell r="AN15">
            <v>908.894583333333</v>
          </cell>
          <cell r="AO15">
            <v>7671.39458333333</v>
          </cell>
        </row>
        <row r="16">
          <cell r="A16">
            <v>15</v>
          </cell>
          <cell r="E16" t="str">
            <v>VIJAYAWADA CPC</v>
          </cell>
          <cell r="F16" t="str">
            <v>101987110989</v>
          </cell>
          <cell r="G16" t="str">
            <v>6209997390</v>
          </cell>
          <cell r="H16" t="str">
            <v>MANNE RAJESWARI</v>
          </cell>
          <cell r="I16" t="str">
            <v>Helper/HK</v>
          </cell>
          <cell r="J16">
            <v>45444</v>
          </cell>
          <cell r="K16">
            <v>10670</v>
          </cell>
          <cell r="L16">
            <v>0</v>
          </cell>
          <cell r="M16">
            <v>0</v>
          </cell>
          <cell r="N16">
            <v>889</v>
          </cell>
          <cell r="O16">
            <v>1334</v>
          </cell>
          <cell r="P16">
            <v>30</v>
          </cell>
          <cell r="Q16">
            <v>19</v>
          </cell>
          <cell r="S16">
            <v>0</v>
          </cell>
          <cell r="T16">
            <v>6757.6666666666697</v>
          </cell>
          <cell r="U16">
            <v>0</v>
          </cell>
          <cell r="V16">
            <v>0</v>
          </cell>
          <cell r="W16">
            <v>844.86666666666702</v>
          </cell>
          <cell r="X16">
            <v>563.03333333333296</v>
          </cell>
          <cell r="Y16">
            <v>298</v>
          </cell>
          <cell r="Z16">
            <v>8463.5666666666693</v>
          </cell>
          <cell r="AA16">
            <v>0</v>
          </cell>
          <cell r="AB16">
            <v>8165.5666666666702</v>
          </cell>
          <cell r="AC16">
            <v>61.241750000000003</v>
          </cell>
          <cell r="AD16">
            <v>265.38091666666702</v>
          </cell>
          <cell r="AE16">
            <v>6757.6666666666697</v>
          </cell>
          <cell r="AF16">
            <v>810.92</v>
          </cell>
          <cell r="AG16">
            <v>878.49666666666701</v>
          </cell>
          <cell r="AH16">
            <v>2.5</v>
          </cell>
          <cell r="AI16">
            <v>5.8333333333333304</v>
          </cell>
          <cell r="AJ16">
            <v>8463.5666666666693</v>
          </cell>
          <cell r="AK16">
            <v>0</v>
          </cell>
          <cell r="AL16">
            <v>874.66174999999998</v>
          </cell>
          <cell r="AM16">
            <v>7589</v>
          </cell>
          <cell r="AN16">
            <v>1149.7109166666701</v>
          </cell>
          <cell r="AO16">
            <v>9613.2775833333308</v>
          </cell>
        </row>
        <row r="17">
          <cell r="A17">
            <v>16</v>
          </cell>
          <cell r="E17" t="str">
            <v>VIJAYAWADA CPC</v>
          </cell>
          <cell r="F17" t="str">
            <v>102006955709</v>
          </cell>
          <cell r="G17" t="str">
            <v>6210050293</v>
          </cell>
          <cell r="H17" t="str">
            <v>BACHCHU VAMSI VENKATA SANDEEP</v>
          </cell>
          <cell r="I17" t="str">
            <v>Supervisor</v>
          </cell>
          <cell r="J17">
            <v>45444</v>
          </cell>
          <cell r="K17">
            <v>11692</v>
          </cell>
          <cell r="L17">
            <v>0</v>
          </cell>
          <cell r="M17">
            <v>0</v>
          </cell>
          <cell r="N17">
            <v>974</v>
          </cell>
          <cell r="O17">
            <v>1462</v>
          </cell>
          <cell r="P17">
            <v>30</v>
          </cell>
          <cell r="Q17">
            <v>1</v>
          </cell>
          <cell r="S17">
            <v>0</v>
          </cell>
          <cell r="T17">
            <v>389.73333333333301</v>
          </cell>
          <cell r="U17">
            <v>0</v>
          </cell>
          <cell r="V17">
            <v>0</v>
          </cell>
          <cell r="W17">
            <v>48.733333333333299</v>
          </cell>
          <cell r="X17">
            <v>32.466666666666697</v>
          </cell>
          <cell r="Y17">
            <v>0</v>
          </cell>
          <cell r="Z17">
            <v>470.933333333333</v>
          </cell>
          <cell r="AA17">
            <v>0</v>
          </cell>
          <cell r="AB17">
            <v>470.933333333333</v>
          </cell>
          <cell r="AC17">
            <v>3.532</v>
          </cell>
          <cell r="AD17">
            <v>15.3053333333333</v>
          </cell>
          <cell r="AE17">
            <v>389.73333333333301</v>
          </cell>
          <cell r="AF17">
            <v>46.768000000000001</v>
          </cell>
          <cell r="AG17">
            <v>50.665333333333301</v>
          </cell>
          <cell r="AH17">
            <v>2.5</v>
          </cell>
          <cell r="AI17">
            <v>5.8333333333333304</v>
          </cell>
          <cell r="AJ17">
            <v>470.933333333333</v>
          </cell>
          <cell r="AK17">
            <v>0</v>
          </cell>
          <cell r="AL17">
            <v>52.8</v>
          </cell>
          <cell r="AM17">
            <v>418</v>
          </cell>
          <cell r="AN17">
            <v>71.804000000000002</v>
          </cell>
          <cell r="AO17">
            <v>542.73733333333303</v>
          </cell>
        </row>
        <row r="18">
          <cell r="A18">
            <v>17</v>
          </cell>
          <cell r="E18" t="str">
            <v>VIJAYAWADA CPC</v>
          </cell>
          <cell r="F18" t="str">
            <v>101379809523</v>
          </cell>
          <cell r="G18" t="str">
            <v>6210050369</v>
          </cell>
          <cell r="H18" t="str">
            <v>VUYYURU KRISHNAVENI</v>
          </cell>
          <cell r="I18" t="str">
            <v>Helper/HK</v>
          </cell>
          <cell r="J18">
            <v>45444</v>
          </cell>
          <cell r="K18">
            <v>10670</v>
          </cell>
          <cell r="L18">
            <v>0</v>
          </cell>
          <cell r="M18">
            <v>0</v>
          </cell>
          <cell r="N18">
            <v>889</v>
          </cell>
          <cell r="O18">
            <v>1334</v>
          </cell>
          <cell r="P18">
            <v>30</v>
          </cell>
          <cell r="Q18">
            <v>19</v>
          </cell>
          <cell r="S18">
            <v>0</v>
          </cell>
          <cell r="T18">
            <v>6757.6666666666697</v>
          </cell>
          <cell r="U18">
            <v>0</v>
          </cell>
          <cell r="V18">
            <v>0</v>
          </cell>
          <cell r="W18">
            <v>844.86666666666702</v>
          </cell>
          <cell r="X18">
            <v>563.03333333333296</v>
          </cell>
          <cell r="Y18">
            <v>298</v>
          </cell>
          <cell r="Z18">
            <v>8463.5666666666693</v>
          </cell>
          <cell r="AA18">
            <v>0</v>
          </cell>
          <cell r="AB18">
            <v>8165.5666666666702</v>
          </cell>
          <cell r="AC18">
            <v>61.241750000000003</v>
          </cell>
          <cell r="AD18">
            <v>265.38091666666702</v>
          </cell>
          <cell r="AE18">
            <v>6757.6666666666697</v>
          </cell>
          <cell r="AF18">
            <v>810.92</v>
          </cell>
          <cell r="AG18">
            <v>878.49666666666701</v>
          </cell>
          <cell r="AH18">
            <v>2.5</v>
          </cell>
          <cell r="AI18">
            <v>5.8333333333333304</v>
          </cell>
          <cell r="AJ18">
            <v>8463.5666666666693</v>
          </cell>
          <cell r="AK18">
            <v>0</v>
          </cell>
          <cell r="AL18">
            <v>874.66174999999998</v>
          </cell>
          <cell r="AM18">
            <v>7589</v>
          </cell>
          <cell r="AN18">
            <v>1149.7109166666701</v>
          </cell>
          <cell r="AO18">
            <v>9613.2775833333308</v>
          </cell>
        </row>
        <row r="19">
          <cell r="A19">
            <v>18</v>
          </cell>
          <cell r="E19" t="str">
            <v>VIJAYAWADA CPC</v>
          </cell>
          <cell r="F19" t="str">
            <v>102007076277</v>
          </cell>
          <cell r="G19" t="str">
            <v>6210050629</v>
          </cell>
          <cell r="H19" t="str">
            <v>KUNAPAREDDY VIJAYA</v>
          </cell>
          <cell r="I19" t="str">
            <v>Helper/HK</v>
          </cell>
          <cell r="J19">
            <v>45444</v>
          </cell>
          <cell r="K19">
            <v>10670</v>
          </cell>
          <cell r="L19">
            <v>0</v>
          </cell>
          <cell r="M19">
            <v>0</v>
          </cell>
          <cell r="N19">
            <v>889</v>
          </cell>
          <cell r="O19">
            <v>1334</v>
          </cell>
          <cell r="P19">
            <v>30</v>
          </cell>
          <cell r="Q19">
            <v>10</v>
          </cell>
          <cell r="S19">
            <v>0</v>
          </cell>
          <cell r="T19">
            <v>3556.6666666666702</v>
          </cell>
          <cell r="U19">
            <v>0</v>
          </cell>
          <cell r="V19">
            <v>0</v>
          </cell>
          <cell r="W19">
            <v>444.66666666666703</v>
          </cell>
          <cell r="X19">
            <v>296.33333333333297</v>
          </cell>
          <cell r="Y19">
            <v>110</v>
          </cell>
          <cell r="Z19">
            <v>4407.6666666666697</v>
          </cell>
          <cell r="AA19">
            <v>0</v>
          </cell>
          <cell r="AB19">
            <v>4297.6666666666697</v>
          </cell>
          <cell r="AC19">
            <v>32.232500000000002</v>
          </cell>
          <cell r="AD19">
            <v>139.67416666666699</v>
          </cell>
          <cell r="AE19">
            <v>3556.6666666666702</v>
          </cell>
          <cell r="AF19">
            <v>426.8</v>
          </cell>
          <cell r="AG19">
            <v>462.36666666666702</v>
          </cell>
          <cell r="AH19">
            <v>2.5</v>
          </cell>
          <cell r="AI19">
            <v>5.8333333333333304</v>
          </cell>
          <cell r="AJ19">
            <v>4407.6666666666697</v>
          </cell>
          <cell r="AK19">
            <v>0</v>
          </cell>
          <cell r="AL19">
            <v>461.53250000000003</v>
          </cell>
          <cell r="AM19">
            <v>3946</v>
          </cell>
          <cell r="AN19">
            <v>607.87416666666695</v>
          </cell>
          <cell r="AO19">
            <v>5015.5408333333298</v>
          </cell>
        </row>
        <row r="20">
          <cell r="A20">
            <v>19</v>
          </cell>
          <cell r="E20" t="str">
            <v>VIJAYAWADA CPC</v>
          </cell>
          <cell r="F20" t="str">
            <v>102008262407</v>
          </cell>
          <cell r="G20" t="str">
            <v>6210054547</v>
          </cell>
          <cell r="H20" t="str">
            <v>NAMANA VARAPRASAD</v>
          </cell>
          <cell r="I20" t="str">
            <v>Helper/HK</v>
          </cell>
          <cell r="J20">
            <v>45444</v>
          </cell>
          <cell r="K20">
            <v>10670</v>
          </cell>
          <cell r="L20">
            <v>0</v>
          </cell>
          <cell r="M20">
            <v>0</v>
          </cell>
          <cell r="N20">
            <v>889</v>
          </cell>
          <cell r="O20">
            <v>1334</v>
          </cell>
          <cell r="P20">
            <v>30</v>
          </cell>
          <cell r="Q20">
            <v>26</v>
          </cell>
          <cell r="S20">
            <v>0</v>
          </cell>
          <cell r="T20">
            <v>9247.3333333333303</v>
          </cell>
          <cell r="U20">
            <v>0</v>
          </cell>
          <cell r="V20">
            <v>0</v>
          </cell>
          <cell r="W20">
            <v>1156.13333333333</v>
          </cell>
          <cell r="X20">
            <v>770.46666666666704</v>
          </cell>
          <cell r="Y20">
            <v>422</v>
          </cell>
          <cell r="Z20">
            <v>11595.9333333333</v>
          </cell>
          <cell r="AA20">
            <v>0</v>
          </cell>
          <cell r="AB20">
            <v>11173.9333333333</v>
          </cell>
          <cell r="AC20">
            <v>83.804500000000004</v>
          </cell>
          <cell r="AD20">
            <v>363.15283333333298</v>
          </cell>
          <cell r="AE20">
            <v>9247.3333333333303</v>
          </cell>
          <cell r="AF20">
            <v>1109.68</v>
          </cell>
          <cell r="AG20">
            <v>1202.15333333333</v>
          </cell>
          <cell r="AH20">
            <v>2.5</v>
          </cell>
          <cell r="AI20">
            <v>5.8333333333333304</v>
          </cell>
          <cell r="AJ20">
            <v>11595.9333333333</v>
          </cell>
          <cell r="AK20">
            <v>0</v>
          </cell>
          <cell r="AL20">
            <v>1195.9845</v>
          </cell>
          <cell r="AM20">
            <v>10400</v>
          </cell>
          <cell r="AN20">
            <v>1571.1395</v>
          </cell>
          <cell r="AO20">
            <v>13167.072833333301</v>
          </cell>
        </row>
        <row r="21">
          <cell r="A21">
            <v>20</v>
          </cell>
          <cell r="E21" t="str">
            <v>VIJAYAWADA CPC</v>
          </cell>
          <cell r="F21" t="str">
            <v>101239095369</v>
          </cell>
          <cell r="G21" t="str">
            <v>6208296918</v>
          </cell>
          <cell r="H21" t="str">
            <v>MANDAPATI KAVITHA</v>
          </cell>
          <cell r="I21" t="str">
            <v>Supervisor</v>
          </cell>
          <cell r="J21">
            <v>45444</v>
          </cell>
          <cell r="K21">
            <v>11692</v>
          </cell>
          <cell r="L21">
            <v>0</v>
          </cell>
          <cell r="M21">
            <v>0</v>
          </cell>
          <cell r="N21">
            <v>974</v>
          </cell>
          <cell r="O21">
            <v>1462</v>
          </cell>
          <cell r="P21">
            <v>30</v>
          </cell>
          <cell r="Q21">
            <v>28</v>
          </cell>
          <cell r="S21">
            <v>0</v>
          </cell>
          <cell r="T21">
            <v>10912.5333333333</v>
          </cell>
          <cell r="U21">
            <v>0</v>
          </cell>
          <cell r="V21">
            <v>0</v>
          </cell>
          <cell r="W21">
            <v>1364.5333333333299</v>
          </cell>
          <cell r="X21">
            <v>909.06666666666695</v>
          </cell>
          <cell r="Y21">
            <v>545</v>
          </cell>
          <cell r="Z21">
            <v>13731.1333333333</v>
          </cell>
          <cell r="AA21">
            <v>0</v>
          </cell>
          <cell r="AB21">
            <v>13186.1333333333</v>
          </cell>
          <cell r="AC21">
            <v>98.896000000000001</v>
          </cell>
          <cell r="AD21">
            <v>428.54933333333298</v>
          </cell>
          <cell r="AE21">
            <v>10912.5333333333</v>
          </cell>
          <cell r="AF21">
            <v>1309.5039999999999</v>
          </cell>
          <cell r="AG21">
            <v>1418.6293333333299</v>
          </cell>
          <cell r="AH21">
            <v>2.5</v>
          </cell>
          <cell r="AI21">
            <v>5.8333333333333304</v>
          </cell>
          <cell r="AJ21">
            <v>13731.1333333333</v>
          </cell>
          <cell r="AK21">
            <v>0</v>
          </cell>
          <cell r="AL21">
            <v>1410.9</v>
          </cell>
          <cell r="AM21">
            <v>12320</v>
          </cell>
          <cell r="AN21">
            <v>1853.0119999999999</v>
          </cell>
          <cell r="AO21">
            <v>15584.145333333299</v>
          </cell>
        </row>
        <row r="22">
          <cell r="A22">
            <v>21</v>
          </cell>
          <cell r="E22" t="str">
            <v>VIJAYAWADA CPC</v>
          </cell>
          <cell r="F22" t="str">
            <v>101227053067</v>
          </cell>
          <cell r="G22" t="str">
            <v>6209554834</v>
          </cell>
          <cell r="H22" t="str">
            <v>DASU VENKATESWARARAO</v>
          </cell>
          <cell r="I22" t="str">
            <v>Helper/HK</v>
          </cell>
          <cell r="J22">
            <v>45444</v>
          </cell>
          <cell r="K22">
            <v>10670</v>
          </cell>
          <cell r="L22">
            <v>0</v>
          </cell>
          <cell r="M22">
            <v>0</v>
          </cell>
          <cell r="N22">
            <v>889</v>
          </cell>
          <cell r="O22">
            <v>1334</v>
          </cell>
          <cell r="P22">
            <v>30</v>
          </cell>
          <cell r="Q22">
            <v>19</v>
          </cell>
          <cell r="S22">
            <v>0</v>
          </cell>
          <cell r="T22">
            <v>6757.6666666666697</v>
          </cell>
          <cell r="U22">
            <v>0</v>
          </cell>
          <cell r="V22">
            <v>0</v>
          </cell>
          <cell r="W22">
            <v>844.86666666666702</v>
          </cell>
          <cell r="X22">
            <v>563.03333333333296</v>
          </cell>
          <cell r="Y22">
            <v>309</v>
          </cell>
          <cell r="Z22">
            <v>8474.5666666666693</v>
          </cell>
          <cell r="AA22">
            <v>0</v>
          </cell>
          <cell r="AB22">
            <v>8165.5666666666702</v>
          </cell>
          <cell r="AC22">
            <v>61.241750000000003</v>
          </cell>
          <cell r="AD22">
            <v>265.38091666666702</v>
          </cell>
          <cell r="AE22">
            <v>6757.6666666666697</v>
          </cell>
          <cell r="AF22">
            <v>810.92</v>
          </cell>
          <cell r="AG22">
            <v>878.49666666666701</v>
          </cell>
          <cell r="AH22">
            <v>2.5</v>
          </cell>
          <cell r="AI22">
            <v>5.8333333333333304</v>
          </cell>
          <cell r="AJ22">
            <v>8474.5666666666693</v>
          </cell>
          <cell r="AK22">
            <v>0</v>
          </cell>
          <cell r="AL22">
            <v>874.66174999999998</v>
          </cell>
          <cell r="AM22">
            <v>7600</v>
          </cell>
          <cell r="AN22">
            <v>1149.7109166666701</v>
          </cell>
          <cell r="AO22">
            <v>9624.2775833333308</v>
          </cell>
        </row>
        <row r="23">
          <cell r="A23">
            <v>22</v>
          </cell>
          <cell r="E23" t="str">
            <v>VIJAYAWADA CPC</v>
          </cell>
          <cell r="F23" t="str">
            <v>101732566684</v>
          </cell>
          <cell r="G23" t="str">
            <v>6209665054</v>
          </cell>
          <cell r="H23" t="str">
            <v>TIRIVEEDHI AKHIL KUMAR</v>
          </cell>
          <cell r="I23" t="str">
            <v>DEO</v>
          </cell>
          <cell r="J23">
            <v>45444</v>
          </cell>
          <cell r="K23">
            <v>11692</v>
          </cell>
          <cell r="L23">
            <v>0</v>
          </cell>
          <cell r="M23">
            <v>0</v>
          </cell>
          <cell r="N23">
            <v>974</v>
          </cell>
          <cell r="O23">
            <v>1462</v>
          </cell>
          <cell r="P23">
            <v>30</v>
          </cell>
          <cell r="Q23">
            <v>24</v>
          </cell>
          <cell r="S23">
            <v>0</v>
          </cell>
          <cell r="T23">
            <v>9353.6</v>
          </cell>
          <cell r="U23">
            <v>0</v>
          </cell>
          <cell r="V23">
            <v>0</v>
          </cell>
          <cell r="W23">
            <v>1169.5999999999999</v>
          </cell>
          <cell r="X23">
            <v>779.2</v>
          </cell>
          <cell r="Y23">
            <v>467</v>
          </cell>
          <cell r="Z23">
            <v>11769.4</v>
          </cell>
          <cell r="AA23">
            <v>0</v>
          </cell>
          <cell r="AB23">
            <v>11302.4</v>
          </cell>
          <cell r="AC23">
            <v>84.768000000000001</v>
          </cell>
          <cell r="AD23">
            <v>367.32799999999997</v>
          </cell>
          <cell r="AE23">
            <v>9353.6</v>
          </cell>
          <cell r="AF23">
            <v>1122.432</v>
          </cell>
          <cell r="AG23">
            <v>1215.9680000000001</v>
          </cell>
          <cell r="AH23">
            <v>2.5</v>
          </cell>
          <cell r="AI23">
            <v>5.8333333333333304</v>
          </cell>
          <cell r="AJ23">
            <v>11769.4</v>
          </cell>
          <cell r="AK23">
            <v>0</v>
          </cell>
          <cell r="AL23">
            <v>1209.7</v>
          </cell>
          <cell r="AM23">
            <v>10560</v>
          </cell>
          <cell r="AN23">
            <v>1589.1293333333299</v>
          </cell>
          <cell r="AO23">
            <v>13358.529333333299</v>
          </cell>
        </row>
        <row r="24">
          <cell r="A24">
            <v>23</v>
          </cell>
          <cell r="E24" t="str">
            <v>VIJAYAWADA CPC</v>
          </cell>
          <cell r="F24" t="str">
            <v>102025254973</v>
          </cell>
          <cell r="G24" t="str">
            <v>6210118701</v>
          </cell>
          <cell r="H24" t="str">
            <v>KAMMALURI SANDEEP</v>
          </cell>
          <cell r="I24" t="str">
            <v>Supervisor</v>
          </cell>
          <cell r="J24">
            <v>45444</v>
          </cell>
          <cell r="K24">
            <v>11692</v>
          </cell>
          <cell r="L24">
            <v>0</v>
          </cell>
          <cell r="M24">
            <v>0</v>
          </cell>
          <cell r="N24">
            <v>974</v>
          </cell>
          <cell r="O24">
            <v>1462</v>
          </cell>
          <cell r="P24">
            <v>30</v>
          </cell>
          <cell r="Q24">
            <v>29</v>
          </cell>
          <cell r="S24">
            <v>0</v>
          </cell>
          <cell r="T24">
            <v>11302.266666666699</v>
          </cell>
          <cell r="U24">
            <v>0</v>
          </cell>
          <cell r="V24">
            <v>0</v>
          </cell>
          <cell r="W24">
            <v>1413.2666666666701</v>
          </cell>
          <cell r="X24">
            <v>941.53333333333296</v>
          </cell>
          <cell r="Y24">
            <v>0</v>
          </cell>
          <cell r="Z24">
            <v>13657.0666666667</v>
          </cell>
          <cell r="AA24">
            <v>0</v>
          </cell>
          <cell r="AB24">
            <v>13657.0666666667</v>
          </cell>
          <cell r="AC24">
            <v>102.428</v>
          </cell>
          <cell r="AD24">
            <v>443.85466666666701</v>
          </cell>
          <cell r="AE24">
            <v>11302.266666666699</v>
          </cell>
          <cell r="AF24">
            <v>1356.2719999999999</v>
          </cell>
          <cell r="AG24">
            <v>1469.2946666666701</v>
          </cell>
          <cell r="AH24">
            <v>2.5</v>
          </cell>
          <cell r="AI24">
            <v>5.8333333333333304</v>
          </cell>
          <cell r="AJ24">
            <v>13657.0666666667</v>
          </cell>
          <cell r="AK24">
            <v>0</v>
          </cell>
          <cell r="AL24">
            <v>1461.2</v>
          </cell>
          <cell r="AM24">
            <v>12196</v>
          </cell>
          <cell r="AN24">
            <v>1918.98266666667</v>
          </cell>
          <cell r="AO24">
            <v>15576.0493333333</v>
          </cell>
        </row>
        <row r="25">
          <cell r="A25">
            <v>24</v>
          </cell>
          <cell r="E25" t="str">
            <v>VIJAYAWADA CPC</v>
          </cell>
          <cell r="F25" t="str">
            <v>101825607447</v>
          </cell>
          <cell r="G25" t="str">
            <v>6209596037</v>
          </cell>
          <cell r="H25" t="str">
            <v>JALLURI NAGA VENKATA TARISHITH</v>
          </cell>
          <cell r="I25" t="str">
            <v>Supervisor</v>
          </cell>
          <cell r="J25">
            <v>45444</v>
          </cell>
          <cell r="K25">
            <v>11692</v>
          </cell>
          <cell r="L25">
            <v>0</v>
          </cell>
          <cell r="M25">
            <v>0</v>
          </cell>
          <cell r="N25">
            <v>974</v>
          </cell>
          <cell r="O25">
            <v>1462</v>
          </cell>
          <cell r="P25">
            <v>30</v>
          </cell>
          <cell r="Q25">
            <v>29</v>
          </cell>
          <cell r="S25">
            <v>0</v>
          </cell>
          <cell r="T25">
            <v>11302.266666666699</v>
          </cell>
          <cell r="U25">
            <v>0</v>
          </cell>
          <cell r="V25">
            <v>0</v>
          </cell>
          <cell r="W25">
            <v>1413.2666666666701</v>
          </cell>
          <cell r="X25">
            <v>941.53333333333296</v>
          </cell>
          <cell r="Y25">
            <v>0</v>
          </cell>
          <cell r="Z25">
            <v>13657.0666666667</v>
          </cell>
          <cell r="AA25">
            <v>0</v>
          </cell>
          <cell r="AB25">
            <v>13657.0666666667</v>
          </cell>
          <cell r="AC25">
            <v>102.428</v>
          </cell>
          <cell r="AD25">
            <v>443.85466666666701</v>
          </cell>
          <cell r="AE25">
            <v>11302.266666666699</v>
          </cell>
          <cell r="AF25">
            <v>1356.2719999999999</v>
          </cell>
          <cell r="AG25">
            <v>1469.2946666666701</v>
          </cell>
          <cell r="AH25">
            <v>2.5</v>
          </cell>
          <cell r="AI25">
            <v>5.8333333333333304</v>
          </cell>
          <cell r="AJ25">
            <v>13657.0666666667</v>
          </cell>
          <cell r="AK25">
            <v>0</v>
          </cell>
          <cell r="AL25">
            <v>1461.2</v>
          </cell>
          <cell r="AM25">
            <v>12196</v>
          </cell>
          <cell r="AN25">
            <v>1918.98266666667</v>
          </cell>
          <cell r="AO25">
            <v>15576.0493333333</v>
          </cell>
        </row>
        <row r="26">
          <cell r="A26">
            <v>25</v>
          </cell>
          <cell r="E26" t="str">
            <v>VIJAYAWADA CPC</v>
          </cell>
          <cell r="F26" t="str">
            <v>101796960506</v>
          </cell>
          <cell r="G26" t="str">
            <v>6209533737</v>
          </cell>
          <cell r="H26" t="str">
            <v>VADDADI MANI</v>
          </cell>
          <cell r="I26" t="str">
            <v>Helper/HK</v>
          </cell>
          <cell r="J26">
            <v>45444</v>
          </cell>
          <cell r="K26">
            <v>10670</v>
          </cell>
          <cell r="L26">
            <v>0</v>
          </cell>
          <cell r="M26">
            <v>0</v>
          </cell>
          <cell r="N26">
            <v>889</v>
          </cell>
          <cell r="O26">
            <v>1334</v>
          </cell>
          <cell r="P26">
            <v>30</v>
          </cell>
          <cell r="Q26">
            <v>30</v>
          </cell>
          <cell r="S26">
            <v>0</v>
          </cell>
          <cell r="T26">
            <v>10670</v>
          </cell>
          <cell r="U26">
            <v>0</v>
          </cell>
          <cell r="V26">
            <v>0</v>
          </cell>
          <cell r="W26">
            <v>1334</v>
          </cell>
          <cell r="X26">
            <v>889</v>
          </cell>
          <cell r="Y26">
            <v>1879</v>
          </cell>
          <cell r="Z26">
            <v>14772</v>
          </cell>
          <cell r="AA26">
            <v>0</v>
          </cell>
          <cell r="AB26">
            <v>12893</v>
          </cell>
          <cell r="AC26">
            <v>96.697500000000005</v>
          </cell>
          <cell r="AD26">
            <v>419.02249999999998</v>
          </cell>
          <cell r="AE26">
            <v>10670</v>
          </cell>
          <cell r="AF26">
            <v>1280.4000000000001</v>
          </cell>
          <cell r="AG26">
            <v>1387.1</v>
          </cell>
          <cell r="AH26">
            <v>2.5</v>
          </cell>
          <cell r="AI26">
            <v>5.8333333333333304</v>
          </cell>
          <cell r="AJ26">
            <v>14772</v>
          </cell>
          <cell r="AK26">
            <v>0</v>
          </cell>
          <cell r="AL26">
            <v>1379.5975000000001</v>
          </cell>
          <cell r="AM26">
            <v>13392</v>
          </cell>
          <cell r="AN26">
            <v>1811.95583333333</v>
          </cell>
          <cell r="AO26">
            <v>16583.955833333301</v>
          </cell>
        </row>
        <row r="27">
          <cell r="A27">
            <v>26</v>
          </cell>
          <cell r="E27" t="str">
            <v>VIJAYAWADA CPC</v>
          </cell>
          <cell r="F27" t="str">
            <v>102084086512</v>
          </cell>
          <cell r="G27" t="str">
            <v>6210294287</v>
          </cell>
          <cell r="H27" t="str">
            <v>KATURI NITEESHA</v>
          </cell>
          <cell r="I27" t="str">
            <v>Helper/HK</v>
          </cell>
          <cell r="J27">
            <v>45444</v>
          </cell>
          <cell r="K27">
            <v>10670</v>
          </cell>
          <cell r="L27">
            <v>0</v>
          </cell>
          <cell r="M27">
            <v>0</v>
          </cell>
          <cell r="N27">
            <v>889</v>
          </cell>
          <cell r="O27">
            <v>1334</v>
          </cell>
          <cell r="P27">
            <v>30</v>
          </cell>
          <cell r="Q27">
            <v>19</v>
          </cell>
          <cell r="S27">
            <v>0</v>
          </cell>
          <cell r="T27">
            <v>6757.6666666666697</v>
          </cell>
          <cell r="U27">
            <v>0</v>
          </cell>
          <cell r="V27">
            <v>0</v>
          </cell>
          <cell r="W27">
            <v>844.86666666666702</v>
          </cell>
          <cell r="X27">
            <v>563.03333333333296</v>
          </cell>
          <cell r="Y27">
            <v>0</v>
          </cell>
          <cell r="Z27">
            <v>8165.5666666666702</v>
          </cell>
          <cell r="AA27">
            <v>0</v>
          </cell>
          <cell r="AB27">
            <v>8165.5666666666702</v>
          </cell>
          <cell r="AC27">
            <v>61.241750000000003</v>
          </cell>
          <cell r="AD27">
            <v>265.38091666666702</v>
          </cell>
          <cell r="AE27">
            <v>6757.6666666666697</v>
          </cell>
          <cell r="AF27">
            <v>810.92</v>
          </cell>
          <cell r="AG27">
            <v>878.49666666666701</v>
          </cell>
          <cell r="AH27">
            <v>2.5</v>
          </cell>
          <cell r="AI27">
            <v>5.8333333333333304</v>
          </cell>
          <cell r="AJ27">
            <v>8165.5666666666702</v>
          </cell>
          <cell r="AK27">
            <v>0</v>
          </cell>
          <cell r="AL27">
            <v>874.66174999999998</v>
          </cell>
          <cell r="AM27">
            <v>7291</v>
          </cell>
          <cell r="AN27">
            <v>1149.7109166666701</v>
          </cell>
          <cell r="AO27">
            <v>9315.2775833333308</v>
          </cell>
        </row>
        <row r="28">
          <cell r="A28">
            <v>27</v>
          </cell>
          <cell r="E28" t="str">
            <v>VIJAYAWADA CPC</v>
          </cell>
          <cell r="F28" t="str">
            <v>102084086520</v>
          </cell>
          <cell r="G28" t="str">
            <v>6210294338</v>
          </cell>
          <cell r="H28" t="str">
            <v>MANIKONDA MERIMMA</v>
          </cell>
          <cell r="I28" t="str">
            <v>Helper/HK</v>
          </cell>
          <cell r="J28">
            <v>45444</v>
          </cell>
          <cell r="K28">
            <v>10670</v>
          </cell>
          <cell r="L28">
            <v>0</v>
          </cell>
          <cell r="M28">
            <v>0</v>
          </cell>
          <cell r="N28">
            <v>889</v>
          </cell>
          <cell r="O28">
            <v>1334</v>
          </cell>
          <cell r="P28">
            <v>30</v>
          </cell>
          <cell r="Q28">
            <v>15</v>
          </cell>
          <cell r="S28">
            <v>0</v>
          </cell>
          <cell r="T28">
            <v>5335</v>
          </cell>
          <cell r="U28">
            <v>0</v>
          </cell>
          <cell r="V28">
            <v>0</v>
          </cell>
          <cell r="W28">
            <v>667</v>
          </cell>
          <cell r="X28">
            <v>444.5</v>
          </cell>
          <cell r="Y28">
            <v>316</v>
          </cell>
          <cell r="Z28">
            <v>6762.5</v>
          </cell>
          <cell r="AA28">
            <v>0</v>
          </cell>
          <cell r="AB28">
            <v>6446.5</v>
          </cell>
          <cell r="AC28">
            <v>48.348750000000003</v>
          </cell>
          <cell r="AD28">
            <v>209.51124999999999</v>
          </cell>
          <cell r="AE28">
            <v>5335</v>
          </cell>
          <cell r="AF28">
            <v>640.20000000000005</v>
          </cell>
          <cell r="AG28">
            <v>693.55</v>
          </cell>
          <cell r="AH28">
            <v>2.5</v>
          </cell>
          <cell r="AI28">
            <v>5.8333333333333304</v>
          </cell>
          <cell r="AJ28">
            <v>6762.5</v>
          </cell>
          <cell r="AK28">
            <v>0</v>
          </cell>
          <cell r="AL28">
            <v>691.04875000000004</v>
          </cell>
          <cell r="AM28">
            <v>6071</v>
          </cell>
          <cell r="AN28">
            <v>908.894583333333</v>
          </cell>
          <cell r="AO28">
            <v>7671.39458333333</v>
          </cell>
        </row>
        <row r="29">
          <cell r="A29">
            <v>28</v>
          </cell>
          <cell r="E29" t="str">
            <v>VIJAYAWADA CPC</v>
          </cell>
          <cell r="F29" t="str">
            <v>102084086531</v>
          </cell>
          <cell r="G29" t="str">
            <v>6210294329</v>
          </cell>
          <cell r="H29" t="str">
            <v>KATURU MUKHESH BALA GOPAL</v>
          </cell>
          <cell r="I29" t="str">
            <v>Supervisor</v>
          </cell>
          <cell r="J29">
            <v>45444</v>
          </cell>
          <cell r="K29">
            <v>11692</v>
          </cell>
          <cell r="L29">
            <v>0</v>
          </cell>
          <cell r="M29">
            <v>0</v>
          </cell>
          <cell r="N29">
            <v>974</v>
          </cell>
          <cell r="O29">
            <v>1462</v>
          </cell>
          <cell r="P29">
            <v>30</v>
          </cell>
          <cell r="Q29">
            <v>26</v>
          </cell>
          <cell r="S29">
            <v>0</v>
          </cell>
          <cell r="T29">
            <v>10133.0666666667</v>
          </cell>
          <cell r="U29">
            <v>0</v>
          </cell>
          <cell r="V29">
            <v>0</v>
          </cell>
          <cell r="W29">
            <v>1267.06666666667</v>
          </cell>
          <cell r="X29">
            <v>844.13333333333298</v>
          </cell>
          <cell r="Y29">
            <v>445</v>
          </cell>
          <cell r="Z29">
            <v>12689.266666666699</v>
          </cell>
          <cell r="AA29">
            <v>0</v>
          </cell>
          <cell r="AB29">
            <v>12244.266666666699</v>
          </cell>
          <cell r="AC29">
            <v>91.831999999999994</v>
          </cell>
          <cell r="AD29">
            <v>397.93866666666702</v>
          </cell>
          <cell r="AE29">
            <v>10133.0666666667</v>
          </cell>
          <cell r="AF29">
            <v>1215.9680000000001</v>
          </cell>
          <cell r="AG29">
            <v>1317.29866666667</v>
          </cell>
          <cell r="AH29">
            <v>2.5</v>
          </cell>
          <cell r="AI29">
            <v>5.8333333333333304</v>
          </cell>
          <cell r="AJ29">
            <v>12689.266666666699</v>
          </cell>
          <cell r="AK29">
            <v>0</v>
          </cell>
          <cell r="AL29">
            <v>1310.3</v>
          </cell>
          <cell r="AM29">
            <v>11379</v>
          </cell>
          <cell r="AN29">
            <v>1721.0706666666699</v>
          </cell>
          <cell r="AO29">
            <v>14410.3373333333</v>
          </cell>
        </row>
        <row r="30">
          <cell r="A30">
            <v>29</v>
          </cell>
          <cell r="E30" t="str">
            <v>VIJAYAWADA CPC</v>
          </cell>
          <cell r="F30" t="str">
            <v>102084086549</v>
          </cell>
          <cell r="G30" t="str">
            <v>6210294311</v>
          </cell>
          <cell r="H30" t="str">
            <v>VADLAMATI VIJAY</v>
          </cell>
          <cell r="I30" t="str">
            <v>Supervisor</v>
          </cell>
          <cell r="J30">
            <v>45444</v>
          </cell>
          <cell r="K30">
            <v>11692</v>
          </cell>
          <cell r="L30">
            <v>0</v>
          </cell>
          <cell r="M30">
            <v>0</v>
          </cell>
          <cell r="N30">
            <v>974</v>
          </cell>
          <cell r="O30">
            <v>1462</v>
          </cell>
          <cell r="P30">
            <v>30</v>
          </cell>
          <cell r="Q30">
            <v>27</v>
          </cell>
          <cell r="S30">
            <v>0</v>
          </cell>
          <cell r="T30">
            <v>10522.8</v>
          </cell>
          <cell r="U30">
            <v>0</v>
          </cell>
          <cell r="V30">
            <v>0</v>
          </cell>
          <cell r="W30">
            <v>1315.8</v>
          </cell>
          <cell r="X30">
            <v>876.6</v>
          </cell>
          <cell r="Y30">
            <v>430</v>
          </cell>
          <cell r="Z30">
            <v>13145.2</v>
          </cell>
          <cell r="AA30">
            <v>0</v>
          </cell>
          <cell r="AB30">
            <v>12715.2</v>
          </cell>
          <cell r="AC30">
            <v>95.364000000000004</v>
          </cell>
          <cell r="AD30">
            <v>413.24400000000003</v>
          </cell>
          <cell r="AE30">
            <v>10522.8</v>
          </cell>
          <cell r="AF30">
            <v>1262.7360000000001</v>
          </cell>
          <cell r="AG30">
            <v>1367.9639999999999</v>
          </cell>
          <cell r="AH30">
            <v>2.5</v>
          </cell>
          <cell r="AI30">
            <v>5.8333333333333304</v>
          </cell>
          <cell r="AJ30">
            <v>13145.2</v>
          </cell>
          <cell r="AK30">
            <v>0</v>
          </cell>
          <cell r="AL30">
            <v>1360.6</v>
          </cell>
          <cell r="AM30">
            <v>11785</v>
          </cell>
          <cell r="AN30">
            <v>1787.0413333333299</v>
          </cell>
          <cell r="AO30">
            <v>14932.241333333301</v>
          </cell>
        </row>
        <row r="31">
          <cell r="A31">
            <v>30</v>
          </cell>
          <cell r="E31" t="str">
            <v>VIJAYAWADA CPC</v>
          </cell>
          <cell r="F31" t="str">
            <v>102084131925</v>
          </cell>
          <cell r="G31" t="str">
            <v>6210294492</v>
          </cell>
          <cell r="H31" t="str">
            <v>JAHURLAL BEIG</v>
          </cell>
          <cell r="I31" t="str">
            <v>DEO</v>
          </cell>
          <cell r="J31">
            <v>45444</v>
          </cell>
          <cell r="K31">
            <v>11692</v>
          </cell>
          <cell r="L31">
            <v>0</v>
          </cell>
          <cell r="M31">
            <v>0</v>
          </cell>
          <cell r="N31">
            <v>974</v>
          </cell>
          <cell r="O31">
            <v>1462</v>
          </cell>
          <cell r="P31">
            <v>30</v>
          </cell>
          <cell r="Q31">
            <v>28</v>
          </cell>
          <cell r="S31">
            <v>0</v>
          </cell>
          <cell r="T31">
            <v>10912.5333333333</v>
          </cell>
          <cell r="U31">
            <v>0</v>
          </cell>
          <cell r="V31">
            <v>0</v>
          </cell>
          <cell r="W31">
            <v>1364.5333333333299</v>
          </cell>
          <cell r="X31">
            <v>909.06666666666695</v>
          </cell>
          <cell r="Y31">
            <v>0</v>
          </cell>
          <cell r="Z31">
            <v>13186.1333333333</v>
          </cell>
          <cell r="AA31">
            <v>0</v>
          </cell>
          <cell r="AB31">
            <v>13186.1333333333</v>
          </cell>
          <cell r="AC31">
            <v>98.896000000000001</v>
          </cell>
          <cell r="AD31">
            <v>428.54933333333298</v>
          </cell>
          <cell r="AE31">
            <v>10912.5333333333</v>
          </cell>
          <cell r="AF31">
            <v>1309.5039999999999</v>
          </cell>
          <cell r="AG31">
            <v>1418.6293333333299</v>
          </cell>
          <cell r="AH31">
            <v>2.5</v>
          </cell>
          <cell r="AI31">
            <v>5.8333333333333304</v>
          </cell>
          <cell r="AJ31">
            <v>13186.1333333333</v>
          </cell>
          <cell r="AK31">
            <v>0</v>
          </cell>
          <cell r="AL31">
            <v>1410.9</v>
          </cell>
          <cell r="AM31">
            <v>11775</v>
          </cell>
          <cell r="AN31">
            <v>1853.0119999999999</v>
          </cell>
          <cell r="AO31">
            <v>15039.145333333299</v>
          </cell>
        </row>
        <row r="32">
          <cell r="A32">
            <v>31</v>
          </cell>
          <cell r="E32" t="str">
            <v>VIJAYAWADA CPC</v>
          </cell>
          <cell r="F32" t="str">
            <v>102084929462</v>
          </cell>
          <cell r="G32" t="str">
            <v>6210298275</v>
          </cell>
          <cell r="H32" t="str">
            <v>SHEK HASEENA</v>
          </cell>
          <cell r="I32" t="str">
            <v>Helper/HK</v>
          </cell>
          <cell r="J32">
            <v>45444</v>
          </cell>
          <cell r="K32">
            <v>10670</v>
          </cell>
          <cell r="L32">
            <v>0</v>
          </cell>
          <cell r="M32">
            <v>0</v>
          </cell>
          <cell r="N32">
            <v>889</v>
          </cell>
          <cell r="O32">
            <v>1334</v>
          </cell>
          <cell r="P32">
            <v>30</v>
          </cell>
          <cell r="Q32">
            <v>19</v>
          </cell>
          <cell r="S32">
            <v>0</v>
          </cell>
          <cell r="T32">
            <v>6757.6666666666697</v>
          </cell>
          <cell r="U32">
            <v>0</v>
          </cell>
          <cell r="V32">
            <v>0</v>
          </cell>
          <cell r="W32">
            <v>844.86666666666702</v>
          </cell>
          <cell r="X32">
            <v>563.03333333333296</v>
          </cell>
          <cell r="Z32">
            <v>8165.5666666666702</v>
          </cell>
          <cell r="AA32">
            <v>0</v>
          </cell>
          <cell r="AB32">
            <v>8165.5666666666702</v>
          </cell>
          <cell r="AC32">
            <v>61.241750000000003</v>
          </cell>
          <cell r="AD32">
            <v>265.38091666666702</v>
          </cell>
          <cell r="AE32">
            <v>6757.6666666666697</v>
          </cell>
          <cell r="AF32">
            <v>810.92</v>
          </cell>
          <cell r="AG32">
            <v>878.49666666666701</v>
          </cell>
          <cell r="AH32">
            <v>2.5</v>
          </cell>
          <cell r="AI32">
            <v>5.8333333333333304</v>
          </cell>
          <cell r="AJ32">
            <v>8165.5666666666702</v>
          </cell>
          <cell r="AK32">
            <v>0</v>
          </cell>
          <cell r="AL32">
            <v>874.66174999999998</v>
          </cell>
          <cell r="AM32">
            <v>7291</v>
          </cell>
          <cell r="AN32">
            <v>1149.7109166666701</v>
          </cell>
          <cell r="AO32">
            <v>9315.2775833333308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pellNumber"/>
    </sheetNames>
    <definedNames>
      <definedName name="SpellNumber"/>
    </definedNames>
    <sheetDataSet>
      <sheetData sheetId="0"/>
      <sheetData sheetId="1"/>
      <sheetData sheetId="2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770.714489814804" createdVersion="6" refreshedVersion="6" minRefreshableVersion="3" recordCount="11" xr:uid="{00000000-000A-0000-FFFF-FFFF00000000}">
  <cacheSource type="worksheet">
    <worksheetSource ref="A1" sheet="PIVOT TABLE"/>
  </cacheSource>
  <cacheFields count="53">
    <cacheField name="Sr. No" numFmtId="0">
      <sharedItems containsSemiMixedTypes="0" containsNonDate="0" containsString="0"/>
    </cacheField>
    <cacheField name="Emp code Number ( as allotted by the currnet vendor )" numFmtId="0">
      <sharedItems containsSemiMixedTypes="0" containsNonDate="0" containsString="0"/>
    </cacheField>
    <cacheField name="SCRUM ID" numFmtId="0">
      <sharedItems containsSemiMixedTypes="0" containsNonDate="0" containsString="0"/>
    </cacheField>
    <cacheField name="Name as per Attendance" numFmtId="0">
      <sharedItems containsSemiMixedTypes="0" containsNonDate="0" containsString="0"/>
    </cacheField>
    <cacheField name="Name of Employee" numFmtId="0">
      <sharedItems containsSemiMixedTypes="0" containsNonDate="0" containsString="0"/>
    </cacheField>
    <cacheField name="Gender" numFmtId="0">
      <sharedItems containsSemiMixedTypes="0" containsNonDate="0" containsString="0"/>
    </cacheField>
    <cacheField name="PF ACCOUNT NUMBERS" numFmtId="0">
      <sharedItems containsSemiMixedTypes="0" containsNonDate="0" containsString="0"/>
    </cacheField>
    <cacheField name="UAN NUMBER" numFmtId="1">
      <sharedItems containsSemiMixedTypes="0" containsNonDate="0" containsString="0"/>
    </cacheField>
    <cacheField name="ESIC NUMBER" numFmtId="0">
      <sharedItems containsSemiMixedTypes="0" containsNonDate="0" containsString="0"/>
    </cacheField>
    <cacheField name="DOJ_x000a_(MM.DD.YYYY)" numFmtId="14">
      <sharedItems containsSemiMixedTypes="0" containsNonDate="0" containsString="0"/>
    </cacheField>
    <cacheField name=" Location" numFmtId="0">
      <sharedItems containsSemiMixedTypes="0" containsNonDate="0" containsString="0"/>
    </cacheField>
    <cacheField name="Region" numFmtId="0">
      <sharedItems containsSemiMixedTypes="0" containsNonDate="0" containsString="0"/>
    </cacheField>
    <cacheField name="State" numFmtId="0">
      <sharedItems containsSemiMixedTypes="0" containsNonDate="0" containsString="0"/>
    </cacheField>
    <cacheField name="Designation" numFmtId="0">
      <sharedItems count="2">
        <s v="PICKER / PACKER"/>
        <s v="SUPERVISOR"/>
      </sharedItems>
    </cacheField>
    <cacheField name="Skill Type" numFmtId="0">
      <sharedItems containsSemiMixedTypes="0" containsNonDate="0" containsString="0"/>
    </cacheField>
    <cacheField name="No.of days" numFmtId="0">
      <sharedItems containsSemiMixedTypes="0" containsNonDate="0" containsString="0"/>
    </cacheField>
    <cacheField name="No.Of.Working Days" numFmtId="0">
      <sharedItems containsSemiMixedTypes="0" containsNonDate="0" containsString="0"/>
    </cacheField>
    <cacheField name="EXTRA DAYS (Holiday)" numFmtId="0">
      <sharedItems containsSemiMixedTypes="0" containsNonDate="0" containsString="0"/>
    </cacheField>
    <cacheField name="OT Hrs" numFmtId="0">
      <sharedItems containsSemiMixedTypes="0" containsNonDate="0" containsString="0"/>
    </cacheField>
    <cacheField name="Basic" numFmtId="0">
      <sharedItems containsSemiMixedTypes="0" containsNonDate="0" containsString="0"/>
    </cacheField>
    <cacheField name="DA" numFmtId="0">
      <sharedItems containsSemiMixedTypes="0" containsNonDate="0" containsString="0"/>
    </cacheField>
    <cacheField name="Consolidated Basic/PF Wages" numFmtId="0">
      <sharedItems containsSemiMixedTypes="0" containsNonDate="0" containsString="0"/>
    </cacheField>
    <cacheField name="HRA" numFmtId="0">
      <sharedItems containsSemiMixedTypes="0" containsNonDate="0" containsString="0"/>
    </cacheField>
    <cacheField name="Other Allownce" numFmtId="0">
      <sharedItems containsSemiMixedTypes="0" containsNonDate="0" containsString="0"/>
    </cacheField>
    <cacheField name="Conveyance" numFmtId="0">
      <sharedItems containsSemiMixedTypes="0" containsNonDate="0" containsString="0"/>
    </cacheField>
    <cacheField name="Leave_x000a_(If payable Monthly)" numFmtId="0">
      <sharedItems containsSemiMixedTypes="0" containsNonDate="0" containsString="0"/>
    </cacheField>
    <cacheField name="Bonus _x000a_(If payable Monthly)" numFmtId="0">
      <sharedItems containsSemiMixedTypes="0" containsNonDate="0" containsString="0"/>
    </cacheField>
    <cacheField name="Gross Per Month" numFmtId="0">
      <sharedItems containsSemiMixedTypes="0" containsNonDate="0" containsString="0"/>
    </cacheField>
    <cacheField name="Basic2" numFmtId="0">
      <sharedItems containsSemiMixedTypes="0" containsNonDate="0" containsString="0"/>
    </cacheField>
    <cacheField name="DA2" numFmtId="0">
      <sharedItems containsSemiMixedTypes="0" containsNonDate="0" containsString="0"/>
    </cacheField>
    <cacheField name="Consolidated Basic/PF Wages2" numFmtId="0">
      <sharedItems containsSemiMixedTypes="0" containsNonDate="0" containsString="0"/>
    </cacheField>
    <cacheField name="HRA2" numFmtId="0">
      <sharedItems containsSemiMixedTypes="0" containsNonDate="0" containsString="0"/>
    </cacheField>
    <cacheField name="Other Allownce2" numFmtId="0">
      <sharedItems containsSemiMixedTypes="0" containsNonDate="0" containsString="0"/>
    </cacheField>
    <cacheField name="Conveyance2" numFmtId="0">
      <sharedItems containsSemiMixedTypes="0" containsNonDate="0" containsString="0"/>
    </cacheField>
    <cacheField name="Leave_x000a_(If payable Monthly)2" numFmtId="0">
      <sharedItems containsSemiMixedTypes="0" containsNonDate="0" containsString="0"/>
    </cacheField>
    <cacheField name="OT amount" numFmtId="0">
      <sharedItems containsSemiMixedTypes="0" containsNonDate="0" containsString="0"/>
    </cacheField>
    <cacheField name="Bonus _x000a_(If payable Monthly)2" numFmtId="0">
      <sharedItems containsSemiMixedTypes="0" containsNonDate="0" containsString="0"/>
    </cacheField>
    <cacheField name="Gross Per Month2" numFmtId="0">
      <sharedItems containsSemiMixedTypes="0" containsNonDate="0" containsString="0"/>
    </cacheField>
    <cacheField name="EXTRA DAY PAYMENT" numFmtId="0">
      <sharedItems containsSemiMixedTypes="0" containsNonDate="0" containsString="0"/>
    </cacheField>
    <cacheField name="EPF Salary" numFmtId="0">
      <sharedItems containsSemiMixedTypes="0" containsNonDate="0" containsString="0"/>
    </cacheField>
    <cacheField name="PF - 13%" numFmtId="0">
      <sharedItems containsSemiMixedTypes="0" containsNonDate="0" containsString="0"/>
    </cacheField>
    <cacheField name="ESIC - 3.25%" numFmtId="1">
      <sharedItems containsSemiMixedTypes="0" containsNonDate="0" containsString="0"/>
    </cacheField>
    <cacheField name="Employer LWF" numFmtId="0">
      <sharedItems containsSemiMixedTypes="0" containsNonDate="0" containsString="0"/>
    </cacheField>
    <cacheField name="Total Indirects" numFmtId="1">
      <sharedItems containsSemiMixedTypes="0" containsNonDate="0" containsString="0"/>
    </cacheField>
    <cacheField name="Co Controlling" numFmtId="1">
      <sharedItems containsSemiMixedTypes="0" containsNonDate="0" containsString="0"/>
    </cacheField>
    <cacheField name="Uniform Charges" numFmtId="0">
      <sharedItems containsSemiMixedTypes="0" containsNonDate="0" containsString="0"/>
    </cacheField>
    <cacheField name="CTC" numFmtId="1">
      <sharedItems containsSemiMixedTypes="0" containsNonDate="0" containsString="0"/>
    </cacheField>
    <cacheField name="PF - 12%" numFmtId="0">
      <sharedItems containsSemiMixedTypes="0" containsNonDate="0" containsString="0"/>
    </cacheField>
    <cacheField name="ESIC - 0.75%" numFmtId="0">
      <sharedItems containsSemiMixedTypes="0" containsNonDate="0" containsString="0"/>
    </cacheField>
    <cacheField name="Employee LWF" numFmtId="1">
      <sharedItems containsSemiMixedTypes="0" containsNonDate="0" containsString="0"/>
    </cacheField>
    <cacheField name="PT" numFmtId="0">
      <sharedItems containsSemiMixedTypes="0" containsNonDate="0" containsString="0"/>
    </cacheField>
    <cacheField name="Total Deduction" numFmtId="0">
      <sharedItems containsSemiMixedTypes="0" containsNonDate="0" containsString="0"/>
    </cacheField>
    <cacheField name="Take Home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770.718704976898" createdVersion="6" refreshedVersion="6" minRefreshableVersion="3" recordCount="12" xr:uid="{00000000-000A-0000-FFFF-FFFF01000000}">
  <cacheSource type="worksheet">
    <worksheetSource ref="A4:AY8" sheet="Wage Sheet"/>
  </cacheSource>
  <cacheFields count="53">
    <cacheField name="Sr. No" numFmtId="0">
      <sharedItems containsSemiMixedTypes="0" containsNonDate="0" containsString="0"/>
    </cacheField>
    <cacheField name="Emp code Number ( as allotted by the currnet vendor )" numFmtId="0">
      <sharedItems containsSemiMixedTypes="0" containsNonDate="0" containsString="0"/>
    </cacheField>
    <cacheField name="SCRUM ID" numFmtId="0">
      <sharedItems containsSemiMixedTypes="0" containsNonDate="0" containsString="0"/>
    </cacheField>
    <cacheField name="Name as per Attendance" numFmtId="0">
      <sharedItems containsSemiMixedTypes="0" containsNonDate="0" containsString="0"/>
    </cacheField>
    <cacheField name="Name of Employee" numFmtId="0">
      <sharedItems containsSemiMixedTypes="0" containsNonDate="0" containsString="0"/>
    </cacheField>
    <cacheField name="Gender" numFmtId="0">
      <sharedItems containsSemiMixedTypes="0" containsNonDate="0" containsString="0"/>
    </cacheField>
    <cacheField name="PF ACCOUNT NUMBERS" numFmtId="0">
      <sharedItems containsSemiMixedTypes="0" containsNonDate="0" containsString="0"/>
    </cacheField>
    <cacheField name="UAN NUMBER" numFmtId="1">
      <sharedItems containsSemiMixedTypes="0" containsNonDate="0" containsString="0"/>
    </cacheField>
    <cacheField name="ESIC NUMBER" numFmtId="0">
      <sharedItems containsSemiMixedTypes="0" containsNonDate="0" containsString="0"/>
    </cacheField>
    <cacheField name="DOJ_x000a_(MM.DD.YYYY)" numFmtId="14">
      <sharedItems containsSemiMixedTypes="0" containsNonDate="0" containsString="0"/>
    </cacheField>
    <cacheField name=" Location" numFmtId="0">
      <sharedItems containsSemiMixedTypes="0" containsNonDate="0" containsString="0"/>
    </cacheField>
    <cacheField name="Region" numFmtId="0">
      <sharedItems containsSemiMixedTypes="0" containsNonDate="0" containsString="0"/>
    </cacheField>
    <cacheField name="State" numFmtId="0">
      <sharedItems containsSemiMixedTypes="0" containsNonDate="0" containsString="0"/>
    </cacheField>
    <cacheField name="Designation" numFmtId="0">
      <sharedItems count="2">
        <s v="PICKER / PACKER"/>
        <s v="SUPERVISOR"/>
      </sharedItems>
    </cacheField>
    <cacheField name="Skill Type" numFmtId="0">
      <sharedItems containsSemiMixedTypes="0" containsNonDate="0" containsString="0"/>
    </cacheField>
    <cacheField name="No.of days" numFmtId="0">
      <sharedItems containsSemiMixedTypes="0" containsNonDate="0" containsString="0"/>
    </cacheField>
    <cacheField name="No.Of.Working Days" numFmtId="0">
      <sharedItems containsSemiMixedTypes="0" containsNonDate="0" containsString="0"/>
    </cacheField>
    <cacheField name="EXTRA DAYS (Holiday)" numFmtId="0">
      <sharedItems containsSemiMixedTypes="0" containsNonDate="0" containsString="0"/>
    </cacheField>
    <cacheField name="OT Hrs" numFmtId="0">
      <sharedItems containsSemiMixedTypes="0" containsNonDate="0" containsString="0"/>
    </cacheField>
    <cacheField name="Basic" numFmtId="0">
      <sharedItems containsSemiMixedTypes="0" containsNonDate="0" containsString="0"/>
    </cacheField>
    <cacheField name="DA" numFmtId="0">
      <sharedItems containsSemiMixedTypes="0" containsNonDate="0" containsString="0"/>
    </cacheField>
    <cacheField name="Consolidated Basic/PF Wages" numFmtId="0">
      <sharedItems containsSemiMixedTypes="0" containsNonDate="0" containsString="0"/>
    </cacheField>
    <cacheField name="HRA" numFmtId="0">
      <sharedItems containsSemiMixedTypes="0" containsNonDate="0" containsString="0"/>
    </cacheField>
    <cacheField name="Other Allownce" numFmtId="0">
      <sharedItems containsSemiMixedTypes="0" containsNonDate="0" containsString="0"/>
    </cacheField>
    <cacheField name="Conveyance" numFmtId="0">
      <sharedItems containsSemiMixedTypes="0" containsNonDate="0" containsString="0"/>
    </cacheField>
    <cacheField name="Leave_x000a_(If payable Monthly)" numFmtId="0">
      <sharedItems containsSemiMixedTypes="0" containsNonDate="0" containsString="0"/>
    </cacheField>
    <cacheField name="Bonus _x000a_(If payable Monthly)" numFmtId="0">
      <sharedItems containsSemiMixedTypes="0" containsNonDate="0" containsString="0"/>
    </cacheField>
    <cacheField name="Gross Per Month" numFmtId="0">
      <sharedItems containsSemiMixedTypes="0" containsNonDate="0" containsString="0"/>
    </cacheField>
    <cacheField name="Basic2" numFmtId="0">
      <sharedItems containsSemiMixedTypes="0" containsNonDate="0" containsString="0"/>
    </cacheField>
    <cacheField name="DA2" numFmtId="0">
      <sharedItems containsSemiMixedTypes="0" containsNonDate="0" containsString="0"/>
    </cacheField>
    <cacheField name="Consolidated Basic/PF Wages2" numFmtId="0">
      <sharedItems containsSemiMixedTypes="0" containsNonDate="0" containsString="0"/>
    </cacheField>
    <cacheField name="HRA2" numFmtId="0">
      <sharedItems containsSemiMixedTypes="0" containsNonDate="0" containsString="0"/>
    </cacheField>
    <cacheField name="Other Allownce2" numFmtId="0">
      <sharedItems containsSemiMixedTypes="0" containsNonDate="0" containsString="0"/>
    </cacheField>
    <cacheField name="Conveyance2" numFmtId="0">
      <sharedItems containsSemiMixedTypes="0" containsNonDate="0" containsString="0"/>
    </cacheField>
    <cacheField name="Leave_x000a_(If payable Monthly)2" numFmtId="0">
      <sharedItems containsSemiMixedTypes="0" containsNonDate="0" containsString="0"/>
    </cacheField>
    <cacheField name="OT amount" numFmtId="0">
      <sharedItems containsSemiMixedTypes="0" containsNonDate="0" containsString="0"/>
    </cacheField>
    <cacheField name="Bonus _x000a_(If payable Monthly)2" numFmtId="0">
      <sharedItems containsSemiMixedTypes="0" containsNonDate="0" containsString="0"/>
    </cacheField>
    <cacheField name="Gross Per Month2" numFmtId="0">
      <sharedItems containsSemiMixedTypes="0" containsNonDate="0" containsString="0"/>
    </cacheField>
    <cacheField name="EXTRA DAY PAYMENT" numFmtId="0">
      <sharedItems containsSemiMixedTypes="0" containsNonDate="0" containsString="0"/>
    </cacheField>
    <cacheField name="EPF Salary" numFmtId="0">
      <sharedItems containsSemiMixedTypes="0" containsNonDate="0" containsString="0"/>
    </cacheField>
    <cacheField name="PF - 13%" numFmtId="0">
      <sharedItems containsSemiMixedTypes="0" containsNonDate="0" containsString="0"/>
    </cacheField>
    <cacheField name="ESIC - 3.25%" numFmtId="1">
      <sharedItems containsSemiMixedTypes="0" containsNonDate="0" containsString="0"/>
    </cacheField>
    <cacheField name="Employer LWF" numFmtId="0">
      <sharedItems containsSemiMixedTypes="0" containsNonDate="0" containsString="0"/>
    </cacheField>
    <cacheField name="Total Indirects" numFmtId="1">
      <sharedItems containsSemiMixedTypes="0" containsNonDate="0" containsString="0"/>
    </cacheField>
    <cacheField name="Co Controlling" numFmtId="1">
      <sharedItems containsSemiMixedTypes="0" containsNonDate="0" containsString="0"/>
    </cacheField>
    <cacheField name="Uniform Charges" numFmtId="0">
      <sharedItems containsSemiMixedTypes="0" containsNonDate="0" containsString="0"/>
    </cacheField>
    <cacheField name="CTC" numFmtId="1">
      <sharedItems containsSemiMixedTypes="0" containsNonDate="0" containsString="0"/>
    </cacheField>
    <cacheField name="PF - 12%" numFmtId="0">
      <sharedItems containsSemiMixedTypes="0" containsNonDate="0" containsString="0"/>
    </cacheField>
    <cacheField name="ESIC - 0.75%" numFmtId="0">
      <sharedItems containsSemiMixedTypes="0" containsNonDate="0" containsString="0"/>
    </cacheField>
    <cacheField name="Employee LWF" numFmtId="0">
      <sharedItems containsSemiMixedTypes="0" containsNonDate="0" containsString="0"/>
    </cacheField>
    <cacheField name="PT" numFmtId="0">
      <sharedItems containsSemiMixedTypes="0" containsNonDate="0" containsString="0"/>
    </cacheField>
    <cacheField name="Total Deduction" numFmtId="0">
      <sharedItems containsSemiMixedTypes="0" containsNonDate="0" containsString="0"/>
    </cacheField>
    <cacheField name="Take Home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1"/>
    <s v="SGS/RIL/NLR-FC/002"/>
    <s v="PPRR00590633"/>
    <s v="INDELA KALYANI"/>
    <s v="INDELA KALYANI"/>
    <s v="FEMALE"/>
    <s v="GRVSP19631980000017293"/>
    <n v="101822613065"/>
    <n v="7011527196"/>
    <d v="2024-02-05T00:00:00"/>
    <s v="NELLORE FC"/>
    <s v="South"/>
    <s v="Andhra Pradesh"/>
    <x v="0"/>
    <s v="SemiSkilled"/>
    <n v="31"/>
    <n v="10"/>
    <n v="1"/>
    <n v="0"/>
    <n v="12531"/>
    <n v="0"/>
    <n v="12531"/>
    <n v="281"/>
    <n v="0"/>
    <n v="0"/>
    <n v="1566"/>
    <n v="1044"/>
    <n v="15422"/>
    <n v="4042"/>
    <n v="0"/>
    <n v="4042"/>
    <n v="91"/>
    <n v="0"/>
    <n v="0"/>
    <n v="505"/>
    <n v="0"/>
    <n v="337"/>
    <n v="4975"/>
    <n v="497"/>
    <n v="4042"/>
    <n v="525"/>
    <n v="161.6875"/>
    <n v="5.83"/>
    <n v="692.51750000000004"/>
    <n v="5667.5174999999999"/>
    <m/>
    <n v="5667.5174999999999"/>
    <n v="485"/>
    <n v="38"/>
    <n v="2.5"/>
    <n v="0"/>
    <n v="525.5"/>
    <n v="4947"/>
  </r>
  <r>
    <n v="2"/>
    <s v="SGS/RIL/NLR-FC/003"/>
    <s v="PPRR00590642"/>
    <s v="DEVARAKONDA HANOK"/>
    <s v="DEVARAKONDA HANOK"/>
    <s v="MALE"/>
    <s v="GRVSP19631980000017289"/>
    <n v="101468118332"/>
    <n v="7011527210"/>
    <d v="2024-02-05T00:00:00"/>
    <s v="NELLORE FC"/>
    <s v="South"/>
    <s v="Andhra Pradesh"/>
    <x v="0"/>
    <s v="SemiSkilled"/>
    <n v="31"/>
    <n v="10"/>
    <n v="1"/>
    <n v="0"/>
    <n v="12531"/>
    <n v="0"/>
    <n v="12531"/>
    <n v="281"/>
    <n v="0"/>
    <n v="0"/>
    <n v="1566"/>
    <n v="1044"/>
    <n v="15422"/>
    <n v="4042"/>
    <n v="0"/>
    <n v="4042"/>
    <n v="91"/>
    <n v="0"/>
    <n v="0"/>
    <n v="505"/>
    <n v="0"/>
    <n v="337"/>
    <n v="4975"/>
    <n v="497"/>
    <n v="4042"/>
    <n v="525"/>
    <n v="161.6875"/>
    <n v="5.83"/>
    <n v="692.51750000000004"/>
    <n v="5667.5174999999999"/>
    <m/>
    <n v="5667.5174999999999"/>
    <n v="485"/>
    <n v="38"/>
    <n v="2.5"/>
    <n v="0"/>
    <n v="525.5"/>
    <n v="4947"/>
  </r>
  <r>
    <n v="3"/>
    <s v="SGS/RIL/NLR-FC/004"/>
    <s v="PPRR00590596"/>
    <s v="KATTA LOKESH"/>
    <s v="KATTA LOKESH"/>
    <s v="MALE"/>
    <s v="GRVSP19631980000017296"/>
    <n v="101810090779"/>
    <n v="7011527230"/>
    <d v="2024-02-05T00:00:00"/>
    <s v="NELLORE FC"/>
    <s v="South"/>
    <s v="Andhra Pradesh"/>
    <x v="1"/>
    <s v="Skilled"/>
    <n v="31"/>
    <n v="11"/>
    <n v="1"/>
    <n v="0"/>
    <n v="13151"/>
    <n v="0"/>
    <n v="13151"/>
    <n v="2127"/>
    <n v="0"/>
    <n v="0"/>
    <n v="1644"/>
    <n v="1095"/>
    <n v="18017"/>
    <n v="4666"/>
    <n v="0"/>
    <n v="4666"/>
    <n v="755"/>
    <n v="0"/>
    <n v="0"/>
    <n v="583"/>
    <n v="0"/>
    <n v="389"/>
    <n v="6393"/>
    <n v="581"/>
    <n v="4666"/>
    <n v="607"/>
    <n v="207.77250000000001"/>
    <n v="5.83"/>
    <n v="820.60250000000008"/>
    <n v="7213.6025"/>
    <m/>
    <n v="7213.6025"/>
    <n v="560"/>
    <n v="48"/>
    <n v="2.5"/>
    <n v="0"/>
    <n v="610.5"/>
    <n v="6364"/>
  </r>
  <r>
    <n v="4"/>
    <s v="SGS/RIL/NLR-FC/005"/>
    <s v="PPRR00847992"/>
    <s v="SALLA PRAKASHRAJ"/>
    <s v="SALLA PRAKASHRAJ"/>
    <s v="MALE"/>
    <s v="GRVSP19631980000017789"/>
    <n v="102100945894"/>
    <n v="7011636702"/>
    <d v="2024-07-12T00:00:00"/>
    <s v="NELLORE FC"/>
    <s v="South"/>
    <s v="Andhra Pradesh"/>
    <x v="0"/>
    <s v="SemiSkilled"/>
    <n v="31"/>
    <n v="11"/>
    <n v="1"/>
    <n v="0"/>
    <n v="12531"/>
    <n v="0"/>
    <n v="12531"/>
    <n v="281"/>
    <n v="0"/>
    <n v="0"/>
    <n v="1566"/>
    <n v="1044"/>
    <n v="15422"/>
    <n v="4446"/>
    <n v="0"/>
    <n v="4446"/>
    <n v="100"/>
    <n v="0"/>
    <n v="0"/>
    <n v="556"/>
    <n v="0"/>
    <n v="370"/>
    <n v="5472"/>
    <n v="497"/>
    <n v="4446"/>
    <n v="578"/>
    <n v="177.84"/>
    <n v="5.83"/>
    <n v="761.67000000000007"/>
    <n v="6233.67"/>
    <m/>
    <n v="6233.67"/>
    <n v="534"/>
    <n v="42"/>
    <n v="2.5"/>
    <n v="0"/>
    <n v="578.5"/>
    <n v="5391"/>
  </r>
  <r>
    <n v="5"/>
    <s v="SGS/RIL/NLR-FC/006"/>
    <s v="PPRR00861201"/>
    <s v="DEVARAKONDA SUSENDRA"/>
    <s v="DEVARAKONDA SUSENDRA"/>
    <s v="MALE"/>
    <s v="GRVSP19631980000017871"/>
    <n v="101649730069"/>
    <n v="7011625666"/>
    <d v="2024-08-01T00:00:00"/>
    <s v="NELLORE FC"/>
    <s v="South"/>
    <s v="Andhra Pradesh"/>
    <x v="0"/>
    <s v="SemiSkilled"/>
    <n v="31"/>
    <n v="11"/>
    <n v="1"/>
    <n v="0"/>
    <n v="12531"/>
    <n v="0"/>
    <n v="12531"/>
    <n v="281"/>
    <n v="0"/>
    <n v="0"/>
    <n v="1566"/>
    <n v="1044"/>
    <n v="15422"/>
    <n v="4446"/>
    <n v="0"/>
    <n v="4446"/>
    <n v="100"/>
    <n v="0"/>
    <n v="0"/>
    <n v="556"/>
    <n v="0"/>
    <n v="370"/>
    <n v="5472"/>
    <n v="497"/>
    <n v="4446"/>
    <n v="578"/>
    <n v="177.84"/>
    <n v="5.83"/>
    <n v="761.67000000000007"/>
    <n v="6233.67"/>
    <m/>
    <n v="6233.67"/>
    <n v="534"/>
    <n v="42"/>
    <n v="2.5"/>
    <n v="0"/>
    <n v="578.5"/>
    <n v="5391"/>
  </r>
  <r>
    <n v="6"/>
    <s v="SGS/RIL/NLR-FC/007"/>
    <s v="PPRR00879995"/>
    <s v="M.VIVEK"/>
    <s v="M.VIVEK"/>
    <s v="MALE"/>
    <s v="GRVSP19631980000017917"/>
    <n v="101757115388"/>
    <n v="7011652412"/>
    <d v="2024-09-20T00:00:00"/>
    <s v="NELLORE FC"/>
    <s v="South"/>
    <s v="Andhra Pradesh"/>
    <x v="0"/>
    <s v="SemiSkilled"/>
    <n v="31"/>
    <n v="11"/>
    <n v="1"/>
    <n v="0"/>
    <n v="12531"/>
    <n v="0"/>
    <n v="12531"/>
    <n v="281"/>
    <n v="0"/>
    <n v="0"/>
    <n v="1566"/>
    <n v="1044"/>
    <n v="15422"/>
    <n v="4446"/>
    <n v="0"/>
    <n v="4446"/>
    <n v="100"/>
    <n v="0"/>
    <n v="0"/>
    <n v="556"/>
    <n v="0"/>
    <n v="370"/>
    <n v="5472"/>
    <n v="497"/>
    <n v="4446"/>
    <n v="578"/>
    <n v="177.84"/>
    <n v="5.83"/>
    <n v="761.67000000000007"/>
    <n v="6233.67"/>
    <m/>
    <n v="6233.67"/>
    <n v="534"/>
    <n v="42"/>
    <n v="2.5"/>
    <n v="0"/>
    <n v="578.5"/>
    <n v="5391"/>
  </r>
  <r>
    <n v="7"/>
    <s v="SGS/RIL/NLR-FC/008"/>
    <s v="PPRR00864383"/>
    <s v="MADHAVI"/>
    <s v="MADHAVI"/>
    <s v="FEMALE"/>
    <s v="GRVSP19631980000017949"/>
    <n v="101819300534"/>
    <n v="7011664787"/>
    <s v="22.09.2024"/>
    <s v="NELLORE FC"/>
    <s v="South"/>
    <s v="Andhra Pradesh"/>
    <x v="0"/>
    <s v="SemiSkilled"/>
    <n v="31"/>
    <n v="11"/>
    <n v="1"/>
    <n v="0"/>
    <n v="12531"/>
    <n v="0"/>
    <n v="12531"/>
    <n v="281"/>
    <n v="0"/>
    <n v="0"/>
    <n v="1566"/>
    <n v="1044"/>
    <n v="15422"/>
    <n v="4446"/>
    <n v="0"/>
    <n v="4446"/>
    <n v="100"/>
    <n v="0"/>
    <n v="0"/>
    <n v="556"/>
    <n v="0"/>
    <n v="370"/>
    <n v="5472"/>
    <n v="497"/>
    <n v="4446"/>
    <n v="578"/>
    <n v="177.84"/>
    <n v="5.83"/>
    <n v="761.67000000000007"/>
    <n v="6233.67"/>
    <m/>
    <n v="6233.67"/>
    <n v="534"/>
    <n v="42"/>
    <n v="2.5"/>
    <n v="0"/>
    <n v="578.5"/>
    <n v="5391"/>
  </r>
  <r>
    <n v="8"/>
    <s v="SGS/RIL/NLR-FC/009"/>
    <s v="PPRR00887108"/>
    <s v="SK.NEELUFER"/>
    <s v="NEELUFER"/>
    <s v="MALE"/>
    <s v="GRVSP19631980000017948"/>
    <n v="101870727875"/>
    <n v="7011664791"/>
    <s v="02.10.2024"/>
    <s v="NELLORE FC"/>
    <s v="South"/>
    <s v="Andhra Pradesh"/>
    <x v="0"/>
    <s v="SemiSkilled"/>
    <n v="31"/>
    <n v="9"/>
    <n v="1"/>
    <n v="0"/>
    <n v="12531"/>
    <n v="0"/>
    <n v="12531"/>
    <n v="281"/>
    <n v="0"/>
    <n v="0"/>
    <n v="1566"/>
    <n v="1044"/>
    <n v="15422"/>
    <n v="3638"/>
    <n v="0"/>
    <n v="3638"/>
    <n v="82"/>
    <n v="0"/>
    <n v="0"/>
    <n v="455"/>
    <n v="0"/>
    <n v="303"/>
    <n v="4478"/>
    <n v="497"/>
    <n v="3638"/>
    <n v="473"/>
    <n v="145.535"/>
    <n v="5.83"/>
    <n v="624.36500000000001"/>
    <n v="5102.3649999999998"/>
    <m/>
    <n v="5102.3649999999998"/>
    <n v="437"/>
    <n v="34"/>
    <n v="2.5"/>
    <n v="0"/>
    <n v="473.5"/>
    <n v="4502"/>
  </r>
  <r>
    <n v="9"/>
    <s v="SGS/RIL/NLR-FC/0012"/>
    <s v="PPRR00932674"/>
    <s v="M.LOKESH"/>
    <s v="Mavilla Lokesh"/>
    <s v="MALE"/>
    <s v="GRVSP19631980000018167"/>
    <n v="101857380459"/>
    <n v="3314289361"/>
    <s v="06.02.2025"/>
    <s v="NELLORE FC"/>
    <s v="South"/>
    <s v="Andhra Pradesh"/>
    <x v="0"/>
    <s v="SemiSkilled"/>
    <n v="31"/>
    <n v="10"/>
    <n v="1"/>
    <n v="0"/>
    <n v="12531"/>
    <n v="0"/>
    <n v="12531"/>
    <n v="281"/>
    <n v="0"/>
    <n v="0"/>
    <n v="1566"/>
    <n v="1044"/>
    <n v="15422"/>
    <n v="4042"/>
    <n v="0"/>
    <n v="4042"/>
    <n v="91"/>
    <n v="0"/>
    <n v="0"/>
    <n v="505"/>
    <n v="0"/>
    <n v="337"/>
    <n v="4975"/>
    <n v="497"/>
    <n v="4042"/>
    <n v="525"/>
    <n v="161.6875"/>
    <n v="5.83"/>
    <n v="692.51750000000004"/>
    <n v="5667.5174999999999"/>
    <m/>
    <n v="5667.5174999999999"/>
    <n v="485"/>
    <n v="38"/>
    <n v="2.5"/>
    <n v="0"/>
    <n v="525.5"/>
    <n v="4947"/>
  </r>
  <r>
    <n v="10"/>
    <s v="SGS/RIL/NLR-FC/0013"/>
    <s v="PPRR00932157"/>
    <s v="A.NAVEEN"/>
    <s v="Avula Naveen"/>
    <s v="MALE"/>
    <s v="GRVSP19631980000018216"/>
    <n v="101820670152"/>
    <n v="3313972243"/>
    <s v="06.02.2025"/>
    <s v="NELLORE FC"/>
    <s v="South"/>
    <s v="Andhra Pradesh"/>
    <x v="0"/>
    <s v="SemiSkilled"/>
    <n v="31"/>
    <n v="9"/>
    <n v="1"/>
    <n v="0"/>
    <n v="12531"/>
    <n v="0"/>
    <n v="12531"/>
    <n v="281"/>
    <n v="0"/>
    <n v="0"/>
    <n v="1566"/>
    <n v="1044"/>
    <n v="15422"/>
    <n v="3638"/>
    <n v="0"/>
    <n v="3638"/>
    <n v="82"/>
    <n v="0"/>
    <n v="0"/>
    <n v="455"/>
    <n v="0"/>
    <n v="303"/>
    <n v="4478"/>
    <n v="497"/>
    <n v="3638"/>
    <n v="473"/>
    <n v="145.535"/>
    <n v="5.83"/>
    <n v="624.36500000000001"/>
    <n v="5102.3649999999998"/>
    <m/>
    <n v="5102.3649999999998"/>
    <n v="437"/>
    <n v="34"/>
    <n v="2.5"/>
    <n v="0"/>
    <n v="473.5"/>
    <n v="4502"/>
  </r>
  <r>
    <n v="11"/>
    <s v="SGS/RIL/NLR-FC/0014"/>
    <s v="PPRR00930901"/>
    <s v="A.BALAJI"/>
    <s v="Akkayyagari Balaji"/>
    <s v="MALE"/>
    <s v="GRVSP19631980000018169"/>
    <n v="101779348599"/>
    <n v="3313573567"/>
    <s v="10.02.2025"/>
    <s v="NELLORE FC"/>
    <s v="South"/>
    <s v="Andhra Pradesh"/>
    <x v="1"/>
    <s v="Skilled"/>
    <n v="31"/>
    <n v="11"/>
    <n v="1"/>
    <n v="0"/>
    <n v="13151"/>
    <n v="0"/>
    <n v="13151"/>
    <n v="2127"/>
    <n v="0"/>
    <n v="0"/>
    <n v="1644"/>
    <n v="1095"/>
    <n v="18017"/>
    <n v="4666"/>
    <n v="0"/>
    <n v="4666"/>
    <n v="755"/>
    <n v="0"/>
    <n v="0"/>
    <n v="583"/>
    <n v="0"/>
    <n v="389"/>
    <n v="6393"/>
    <n v="581"/>
    <n v="4666"/>
    <n v="607"/>
    <n v="207.77250000000001"/>
    <n v="5.83"/>
    <n v="820.60250000000008"/>
    <n v="7213.6025"/>
    <m/>
    <n v="7213.6025"/>
    <n v="560"/>
    <n v="48"/>
    <n v="2.5"/>
    <n v="0"/>
    <n v="610.5"/>
    <n v="636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s v="SGS/RIL/NLR-FC/002"/>
    <s v="PPRR00590633"/>
    <s v="INDELA KALYANI"/>
    <s v="INDELA  KALYANI"/>
    <s v="FEMALE"/>
    <s v="GRVSP19631980000017293"/>
    <n v="101822613065"/>
    <n v="7011527196"/>
    <d v="2024-02-05T00:00:00"/>
    <s v="NELLORE FC"/>
    <s v="South"/>
    <s v="Andhra Pradesh"/>
    <x v="0"/>
    <s v="SemiSkilled"/>
    <n v="31"/>
    <n v="19"/>
    <n v="0"/>
    <n v="0"/>
    <n v="12813"/>
    <n v="0"/>
    <n v="12813"/>
    <n v="281"/>
    <n v="0"/>
    <n v="0"/>
    <n v="1602"/>
    <n v="1067"/>
    <n v="15763"/>
    <n v="7853"/>
    <n v="0"/>
    <n v="7853"/>
    <n v="172"/>
    <n v="0"/>
    <n v="0"/>
    <n v="982"/>
    <n v="0"/>
    <n v="654"/>
    <n v="9661"/>
    <n v="0"/>
    <n v="7853"/>
    <n v="1021"/>
    <n v="313.98250000000002"/>
    <n v="5.83"/>
    <n v="1340.8125"/>
    <n v="11001.8125"/>
    <m/>
    <n v="11001.8125"/>
    <n v="942"/>
    <n v="73"/>
    <n v="2.5"/>
    <n v="0"/>
    <n v="1017.5"/>
    <n v="8644"/>
  </r>
  <r>
    <n v="2"/>
    <s v="SGS/RIL/NLR-FC/003"/>
    <s v="PPRR00590642"/>
    <s v="DEVARAKONDA HANOK"/>
    <s v="DEVARAKONDA HANOK"/>
    <s v="MALE"/>
    <s v="GRVSP19631980000017289"/>
    <n v="101468118332"/>
    <n v="7011527210"/>
    <d v="2024-02-05T00:00:00"/>
    <s v="NELLORE FC"/>
    <s v="South"/>
    <s v="Andhra Pradesh"/>
    <x v="0"/>
    <s v="SemiSkilled"/>
    <n v="31"/>
    <n v="17"/>
    <n v="0"/>
    <n v="0"/>
    <n v="12813"/>
    <n v="0"/>
    <n v="12813"/>
    <n v="281"/>
    <n v="0"/>
    <n v="0"/>
    <n v="1602"/>
    <n v="1067"/>
    <n v="15763"/>
    <n v="7026"/>
    <n v="0"/>
    <n v="7026"/>
    <n v="154"/>
    <n v="0"/>
    <n v="0"/>
    <n v="879"/>
    <n v="0"/>
    <n v="585"/>
    <n v="8644"/>
    <n v="0"/>
    <n v="7026"/>
    <n v="913"/>
    <n v="280.93"/>
    <n v="5.83"/>
    <n v="1199.76"/>
    <n v="9843.76"/>
    <m/>
    <n v="9843.76"/>
    <n v="843"/>
    <n v="65"/>
    <n v="2.5"/>
    <n v="0"/>
    <n v="910.5"/>
    <n v="7734"/>
  </r>
  <r>
    <n v="3"/>
    <s v="SGS/RIL/NLR-FC/004"/>
    <s v="PPRR00590596"/>
    <s v="KATTA LOKESH"/>
    <s v="KATTA LOKESH"/>
    <s v="MALE"/>
    <s v="GRVSP19631980000017296"/>
    <n v="101810090779"/>
    <n v="7011527230"/>
    <d v="2024-02-05T00:00:00"/>
    <s v="NELLORE FC"/>
    <s v="South"/>
    <s v="Andhra Pradesh"/>
    <x v="1"/>
    <s v="Skilled"/>
    <n v="31"/>
    <n v="11"/>
    <n v="0"/>
    <n v="0"/>
    <n v="13433"/>
    <n v="0"/>
    <n v="13433"/>
    <n v="2127"/>
    <n v="0"/>
    <n v="0"/>
    <n v="1679"/>
    <n v="1119"/>
    <n v="18358"/>
    <n v="4767"/>
    <n v="0"/>
    <n v="4767"/>
    <n v="755"/>
    <n v="0"/>
    <n v="0"/>
    <n v="596"/>
    <n v="0"/>
    <n v="397"/>
    <n v="6515"/>
    <n v="0"/>
    <n v="4767"/>
    <n v="620"/>
    <n v="211.73750000000001"/>
    <n v="5.83"/>
    <n v="837.5675"/>
    <n v="7352.5675000000001"/>
    <m/>
    <n v="7352.5675000000001"/>
    <n v="572"/>
    <n v="49"/>
    <n v="2.5"/>
    <n v="0"/>
    <n v="623.5"/>
    <n v="5892"/>
  </r>
  <r>
    <n v="4"/>
    <s v="SGS/RIL/NLR-FC/005"/>
    <s v="PPRR00847992"/>
    <s v="SALLA PRAKASHRAJ"/>
    <s v="SALLA PRAKASHRAJ"/>
    <s v="MALE"/>
    <s v="GRVSP19631980000017789"/>
    <n v="102100945894"/>
    <n v="7011636702"/>
    <d v="2024-07-12T00:00:00"/>
    <s v="NELLORE FC"/>
    <s v="South"/>
    <s v="Andhra Pradesh"/>
    <x v="0"/>
    <s v="SemiSkilled"/>
    <n v="31"/>
    <n v="19"/>
    <n v="0"/>
    <n v="0"/>
    <n v="12813"/>
    <n v="0"/>
    <n v="12813"/>
    <n v="281"/>
    <n v="0"/>
    <n v="0"/>
    <n v="1602"/>
    <n v="1067"/>
    <n v="15763"/>
    <n v="7853"/>
    <n v="0"/>
    <n v="7853"/>
    <n v="172"/>
    <n v="0"/>
    <n v="0"/>
    <n v="982"/>
    <n v="0"/>
    <n v="654"/>
    <n v="9661"/>
    <n v="0"/>
    <n v="7853"/>
    <n v="1021"/>
    <n v="313.98250000000002"/>
    <n v="5.83"/>
    <n v="1340.8125"/>
    <n v="11001.8125"/>
    <m/>
    <n v="11001.8125"/>
    <n v="942"/>
    <n v="73"/>
    <n v="2.5"/>
    <n v="0"/>
    <n v="1017.5"/>
    <n v="8644"/>
  </r>
  <r>
    <n v="5"/>
    <s v="SGS/RIL/NLR-FC/006"/>
    <s v="PPRR00861201"/>
    <s v="DEVARAKONDA SUSENDRA"/>
    <s v="DEVARAKONDA SUSENDRA"/>
    <s v="MALE"/>
    <s v="GRVSP19631980000017871"/>
    <n v="101649730069"/>
    <n v="7011625666"/>
    <d v="2024-08-01T00:00:00"/>
    <s v="NELLORE FC"/>
    <s v="South"/>
    <s v="Andhra Pradesh"/>
    <x v="0"/>
    <s v="SemiSkilled"/>
    <n v="31"/>
    <n v="18"/>
    <n v="0"/>
    <n v="0"/>
    <n v="12813"/>
    <n v="0"/>
    <n v="12813"/>
    <n v="281"/>
    <n v="0"/>
    <n v="0"/>
    <n v="1602"/>
    <n v="1067"/>
    <n v="15763"/>
    <n v="7440"/>
    <n v="0"/>
    <n v="7440"/>
    <n v="163"/>
    <n v="0"/>
    <n v="0"/>
    <n v="930"/>
    <n v="0"/>
    <n v="620"/>
    <n v="9153"/>
    <n v="0"/>
    <n v="7440"/>
    <n v="967"/>
    <n v="297.47250000000003"/>
    <n v="5.83"/>
    <n v="1270.3025"/>
    <n v="10423.3025"/>
    <m/>
    <n v="10423.3025"/>
    <n v="893"/>
    <n v="69"/>
    <n v="2.5"/>
    <n v="0"/>
    <n v="964.5"/>
    <n v="8189"/>
  </r>
  <r>
    <n v="6"/>
    <s v="SGS/RIL/NLR-FC/007"/>
    <s v="PPRR00879995"/>
    <s v="M.VIVEK"/>
    <s v="M.VIVEK"/>
    <s v="MALE"/>
    <s v="GRVSP19631980000017917"/>
    <n v="101757115388"/>
    <n v="7011652412"/>
    <d v="2024-09-20T00:00:00"/>
    <s v="NELLORE FC"/>
    <s v="South"/>
    <s v="Andhra Pradesh"/>
    <x v="0"/>
    <s v="SemiSkilled"/>
    <n v="31"/>
    <n v="17"/>
    <n v="0"/>
    <n v="0"/>
    <n v="12813"/>
    <n v="0"/>
    <n v="12813"/>
    <n v="281"/>
    <n v="0"/>
    <n v="0"/>
    <n v="1602"/>
    <n v="1067"/>
    <n v="15763"/>
    <n v="7026"/>
    <n v="0"/>
    <n v="7026"/>
    <n v="154"/>
    <n v="0"/>
    <n v="0"/>
    <n v="879"/>
    <n v="0"/>
    <n v="585"/>
    <n v="8644"/>
    <n v="0"/>
    <n v="7026"/>
    <n v="913"/>
    <n v="280.93"/>
    <n v="5.83"/>
    <n v="1199.76"/>
    <n v="9843.76"/>
    <m/>
    <n v="9843.76"/>
    <n v="843"/>
    <n v="65"/>
    <n v="2.5"/>
    <n v="0"/>
    <n v="910.5"/>
    <n v="7734"/>
  </r>
  <r>
    <n v="7"/>
    <s v="SGS/RIL/NLR-FC/008"/>
    <s v="PPRR00864383"/>
    <s v="MADHAVI"/>
    <s v="MADHAVI"/>
    <s v="FEMALE"/>
    <s v="GRVSP19631980000017949"/>
    <n v="101819300534"/>
    <n v="7011664787"/>
    <s v="22.09.2024"/>
    <s v="NELLORE FC"/>
    <s v="South"/>
    <s v="Andhra Pradesh"/>
    <x v="0"/>
    <s v="SemiSkilled"/>
    <n v="31"/>
    <n v="19"/>
    <n v="0"/>
    <n v="0"/>
    <n v="12813"/>
    <n v="0"/>
    <n v="12813"/>
    <n v="281"/>
    <n v="0"/>
    <n v="0"/>
    <n v="1602"/>
    <n v="1067"/>
    <n v="15763"/>
    <n v="7853"/>
    <n v="0"/>
    <n v="7853"/>
    <n v="172"/>
    <n v="0"/>
    <n v="0"/>
    <n v="982"/>
    <n v="0"/>
    <n v="654"/>
    <n v="9661"/>
    <n v="0"/>
    <n v="7853"/>
    <n v="1021"/>
    <n v="313.98250000000002"/>
    <n v="5.83"/>
    <n v="1340.8125"/>
    <n v="11001.8125"/>
    <m/>
    <n v="11001.8125"/>
    <n v="942"/>
    <n v="73"/>
    <n v="2.5"/>
    <n v="0"/>
    <n v="1017.5"/>
    <n v="8644"/>
  </r>
  <r>
    <n v="8"/>
    <s v="SGS/RIL/NLR-FC/009"/>
    <s v="PPRR00887108"/>
    <s v="SK.NEELUFER"/>
    <s v="NEELUFER"/>
    <s v="MALE"/>
    <s v="GRVSP19631980000017948"/>
    <n v="101870727875"/>
    <n v="7011664791"/>
    <s v="02.10.2024"/>
    <s v="NELLORE FC"/>
    <s v="South"/>
    <s v="Andhra Pradesh"/>
    <x v="0"/>
    <s v="SemiSkilled"/>
    <n v="31"/>
    <n v="18"/>
    <n v="0"/>
    <n v="0"/>
    <n v="12813"/>
    <n v="0"/>
    <n v="12813"/>
    <n v="281"/>
    <n v="0"/>
    <n v="0"/>
    <n v="1602"/>
    <n v="1067"/>
    <n v="15763"/>
    <n v="7440"/>
    <n v="0"/>
    <n v="7440"/>
    <n v="163"/>
    <n v="0"/>
    <n v="0"/>
    <n v="930"/>
    <n v="0"/>
    <n v="620"/>
    <n v="9153"/>
    <n v="0"/>
    <n v="7440"/>
    <n v="967"/>
    <n v="297.47250000000003"/>
    <n v="5.83"/>
    <n v="1270.3025"/>
    <n v="10423.3025"/>
    <m/>
    <n v="10423.3025"/>
    <n v="893"/>
    <n v="69"/>
    <n v="2.5"/>
    <n v="0"/>
    <n v="964.5"/>
    <n v="8189"/>
  </r>
  <r>
    <n v="9"/>
    <s v="SGS/RIL/NLR-FC/0012"/>
    <s v="PPRR00932674"/>
    <s v="M.LOKESH"/>
    <s v="Mavilla Lokesh"/>
    <s v="MALE"/>
    <s v="GRVSP19631980000018167"/>
    <n v="101857380459"/>
    <n v="3314289361"/>
    <s v="06.02.2025"/>
    <s v="NELLORE FC"/>
    <s v="South"/>
    <s v="Andhra Pradesh"/>
    <x v="0"/>
    <s v="SemiSkilled"/>
    <n v="31"/>
    <n v="18"/>
    <n v="0"/>
    <n v="0"/>
    <n v="12813"/>
    <n v="0"/>
    <n v="12813"/>
    <n v="281"/>
    <n v="0"/>
    <n v="0"/>
    <n v="1602"/>
    <n v="1067"/>
    <n v="15763"/>
    <n v="7440"/>
    <n v="0"/>
    <n v="7440"/>
    <n v="163"/>
    <n v="0"/>
    <n v="0"/>
    <n v="930"/>
    <n v="0"/>
    <n v="620"/>
    <n v="9153"/>
    <n v="0"/>
    <n v="7440"/>
    <n v="967"/>
    <n v="297.47250000000003"/>
    <n v="5.83"/>
    <n v="1270.3025"/>
    <n v="10423.3025"/>
    <m/>
    <n v="10423.3025"/>
    <n v="893"/>
    <n v="69"/>
    <n v="2.5"/>
    <n v="0"/>
    <n v="964.5"/>
    <n v="8189"/>
  </r>
  <r>
    <n v="10"/>
    <s v="SGS/RIL/NLR-FC/0013"/>
    <s v="PPRR00932157"/>
    <s v="A.NAVEEN"/>
    <s v="Avula Naveen"/>
    <s v="MALE"/>
    <s v="GRVSP19631980000018216"/>
    <n v="101820670152"/>
    <n v="3313972243"/>
    <s v="06.02.2025"/>
    <s v="NELLORE FC"/>
    <s v="South"/>
    <s v="Andhra Pradesh"/>
    <x v="0"/>
    <s v="SemiSkilled"/>
    <n v="31"/>
    <n v="7"/>
    <n v="0"/>
    <n v="0"/>
    <n v="12813"/>
    <n v="0"/>
    <n v="12813"/>
    <n v="281"/>
    <n v="0"/>
    <n v="0"/>
    <n v="1602"/>
    <n v="1067"/>
    <n v="15763"/>
    <n v="2893"/>
    <n v="0"/>
    <n v="2893"/>
    <n v="63"/>
    <n v="0"/>
    <n v="0"/>
    <n v="362"/>
    <n v="0"/>
    <n v="241"/>
    <n v="3559"/>
    <n v="0"/>
    <n v="2893"/>
    <n v="376"/>
    <n v="115.6675"/>
    <n v="5.83"/>
    <n v="497.4975"/>
    <n v="4056.4974999999999"/>
    <m/>
    <n v="4056.4974999999999"/>
    <n v="347"/>
    <n v="27"/>
    <n v="2.5"/>
    <n v="0"/>
    <n v="376.5"/>
    <n v="3183"/>
  </r>
  <r>
    <n v="11"/>
    <s v="SGS/RIL/NLR-FC/0014"/>
    <s v="PPRR00930901"/>
    <s v="A.BALAJI"/>
    <s v="Akkayyagari Balaji"/>
    <s v="MALE"/>
    <s v="GRVSP19631980000018169"/>
    <n v="101779348599"/>
    <n v="3313573567"/>
    <s v="10.02.2025"/>
    <s v="NELLORE FC"/>
    <s v="South"/>
    <s v="Andhra Pradesh"/>
    <x v="1"/>
    <s v="Skilled"/>
    <n v="31"/>
    <n v="18"/>
    <n v="0"/>
    <n v="0"/>
    <n v="13433"/>
    <n v="0"/>
    <n v="13433"/>
    <n v="2127"/>
    <n v="0"/>
    <n v="0"/>
    <n v="1679"/>
    <n v="1119"/>
    <n v="18358"/>
    <n v="7800"/>
    <n v="0"/>
    <n v="7800"/>
    <n v="1235"/>
    <n v="0"/>
    <n v="0"/>
    <n v="975"/>
    <n v="0"/>
    <n v="650"/>
    <n v="10660"/>
    <n v="0"/>
    <n v="7800"/>
    <n v="1014"/>
    <n v="346.45"/>
    <n v="5.83"/>
    <n v="1366.28"/>
    <n v="12026.28"/>
    <m/>
    <n v="12026.28"/>
    <n v="936"/>
    <n v="80"/>
    <n v="2.5"/>
    <n v="0"/>
    <n v="1018.5"/>
    <n v="9642"/>
  </r>
  <r>
    <n v="12"/>
    <m/>
    <m/>
    <s v="POLERU BALA KULAYAPPA"/>
    <s v="POLERU BALA KULAYAPPA"/>
    <s v="MALE"/>
    <m/>
    <m/>
    <m/>
    <s v="15.04.2025"/>
    <s v="NELLORE FC"/>
    <s v="South"/>
    <s v="Andhra Pradesh"/>
    <x v="0"/>
    <s v="SemiSkilled"/>
    <n v="31"/>
    <n v="6"/>
    <n v="0"/>
    <n v="0"/>
    <n v="12813"/>
    <n v="0"/>
    <n v="12813"/>
    <n v="281"/>
    <n v="0"/>
    <n v="0"/>
    <n v="1602"/>
    <n v="1067"/>
    <n v="15763"/>
    <n v="2480"/>
    <n v="0"/>
    <n v="2480"/>
    <n v="54"/>
    <n v="0"/>
    <n v="0"/>
    <n v="310"/>
    <n v="0"/>
    <n v="207"/>
    <n v="3051"/>
    <n v="0"/>
    <n v="2480"/>
    <n v="322"/>
    <n v="99.157499999999999"/>
    <n v="5.83"/>
    <n v="426.98750000000001"/>
    <n v="3477.9875000000002"/>
    <m/>
    <n v="3477.9875000000002"/>
    <n v="298"/>
    <n v="23"/>
    <n v="2.5"/>
    <n v="0"/>
    <n v="323.5"/>
    <n v="27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1" cacheId="0" applyNumberFormats="0" applyBorderFormats="0" applyFontFormats="0" applyPatternFormats="0" applyAlignmentFormats="0" applyWidthHeightFormats="1" dataCaption="Values" updatedVersion="6" minRefreshableVersion="3" useAutoFormatting="1" createdVersion="6" indent="0" outline="1" outlineData="1" multipleFieldFilters="0">
  <location ref="B3:E6" firstHeaderRow="0" firstDataRow="1" firstDataCol="1"/>
  <pivotFields count="53"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numFmtId="1" showAll="0"/>
    <pivotField numFmtId="1" showAll="0"/>
    <pivotField showAll="0"/>
    <pivotField dataField="1" numFmtId="1" showAll="0"/>
    <pivotField showAll="0"/>
    <pivotField showAll="0"/>
    <pivotField numFmtId="1" showAll="0"/>
    <pivotField showAll="0"/>
    <pivotField showAll="0"/>
    <pivotField showAll="0"/>
  </pivotFields>
  <rowFields count="1">
    <field x="13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o.Of.Working Days" fld="16" baseField="0" baseItem="0"/>
    <dataField name="Sum of EXTRA DAYS (Holiday)" fld="17" baseField="0" baseItem="0"/>
    <dataField name="Sum of CTC" fld="4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1" applyNumberFormats="0" applyBorderFormats="0" applyFontFormats="0" applyPatternFormats="0" applyAlignmentFormats="0" applyWidthHeightFormats="1" dataCaption="Values" updatedVersion="6" minRefreshableVersion="3" useAutoFormatting="1" createdVersion="6" indent="0" outline="1" outlineData="1" multipleFieldFilters="0">
  <location ref="B10:E13" firstHeaderRow="0" firstDataRow="1" firstDataCol="1"/>
  <pivotFields count="5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numFmtId="1" showAll="0"/>
    <pivotField numFmtId="1" showAll="0"/>
    <pivotField showAll="0"/>
    <pivotField dataField="1" numFmtId="1"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o.Of.Working Days" fld="16" baseField="0" baseItem="0"/>
    <dataField name="Sum of EXTRA DAYS (Holiday)" fld="17" baseField="0" baseItem="0"/>
    <dataField name="Sum of CTC" fld="4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15"/>
  <sheetViews>
    <sheetView workbookViewId="0">
      <selection activeCell="E11" sqref="E11:E12"/>
    </sheetView>
  </sheetViews>
  <sheetFormatPr defaultColWidth="9" defaultRowHeight="15"/>
  <cols>
    <col min="1" max="2" width="15.85546875" customWidth="1"/>
    <col min="3" max="3" width="26.140625" customWidth="1"/>
    <col min="4" max="4" width="27.42578125" customWidth="1"/>
    <col min="5" max="5" width="12" customWidth="1"/>
    <col min="6" max="6" width="20.42578125" customWidth="1"/>
  </cols>
  <sheetData>
    <row r="3" spans="2:5">
      <c r="B3" t="s">
        <v>0</v>
      </c>
      <c r="C3" t="s">
        <v>1</v>
      </c>
      <c r="D3" t="s">
        <v>2</v>
      </c>
      <c r="E3" t="s">
        <v>3</v>
      </c>
    </row>
    <row r="4" spans="2:5">
      <c r="B4" s="190" t="s">
        <v>4</v>
      </c>
      <c r="C4">
        <v>92</v>
      </c>
      <c r="D4">
        <v>9</v>
      </c>
      <c r="E4">
        <v>52141.962500000001</v>
      </c>
    </row>
    <row r="5" spans="2:5">
      <c r="B5" s="190" t="s">
        <v>5</v>
      </c>
      <c r="C5">
        <v>22</v>
      </c>
      <c r="D5">
        <v>2</v>
      </c>
      <c r="E5">
        <v>14427.205</v>
      </c>
    </row>
    <row r="6" spans="2:5">
      <c r="B6" s="190" t="s">
        <v>6</v>
      </c>
      <c r="C6">
        <v>114</v>
      </c>
      <c r="D6">
        <v>11</v>
      </c>
      <c r="E6">
        <v>66569.167499999996</v>
      </c>
    </row>
    <row r="7" spans="2:5">
      <c r="E7" s="96"/>
    </row>
    <row r="8" spans="2:5">
      <c r="E8" s="96" t="e">
        <f>GETPIVOTDATA("Sum of CTC",$B$3)-#REF!</f>
        <v>#REF!</v>
      </c>
    </row>
    <row r="10" spans="2:5">
      <c r="B10" t="s">
        <v>0</v>
      </c>
      <c r="C10" t="s">
        <v>1</v>
      </c>
      <c r="D10" t="s">
        <v>2</v>
      </c>
      <c r="E10" t="s">
        <v>3</v>
      </c>
    </row>
    <row r="11" spans="2:5">
      <c r="B11" s="190" t="s">
        <v>4</v>
      </c>
      <c r="C11">
        <v>158</v>
      </c>
      <c r="D11">
        <v>0</v>
      </c>
      <c r="E11">
        <v>91497.35</v>
      </c>
    </row>
    <row r="12" spans="2:5">
      <c r="B12" s="190" t="s">
        <v>5</v>
      </c>
      <c r="C12">
        <v>29</v>
      </c>
      <c r="D12">
        <v>0</v>
      </c>
      <c r="E12">
        <v>19378.8475</v>
      </c>
    </row>
    <row r="13" spans="2:5">
      <c r="B13" s="190" t="s">
        <v>6</v>
      </c>
      <c r="C13">
        <v>187</v>
      </c>
      <c r="D13">
        <v>0</v>
      </c>
      <c r="E13">
        <v>110876.19749999999</v>
      </c>
    </row>
    <row r="15" spans="2:5">
      <c r="E15" s="96">
        <f>GETPIVOTDATA("Sum of CTC",$B$10)-'Wage Sheet'!AS21</f>
        <v>-130218.49249999999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5"/>
  <sheetViews>
    <sheetView topLeftCell="J1" workbookViewId="0">
      <selection activeCell="AB1" sqref="AB1:AB1048576"/>
    </sheetView>
  </sheetViews>
  <sheetFormatPr defaultColWidth="9" defaultRowHeight="15"/>
  <cols>
    <col min="1" max="1" width="8.7109375" customWidth="1"/>
    <col min="2" max="2" width="21.85546875" customWidth="1"/>
    <col min="3" max="3" width="17.28515625" customWidth="1"/>
    <col min="4" max="4" width="8.7109375" customWidth="1"/>
    <col min="5" max="5" width="25.85546875" customWidth="1"/>
    <col min="6" max="6" width="16.140625" customWidth="1"/>
    <col min="7" max="7" width="14.28515625" customWidth="1"/>
    <col min="8" max="8" width="30" customWidth="1"/>
    <col min="9" max="9" width="10.42578125" customWidth="1"/>
    <col min="10" max="10" width="15.85546875" customWidth="1"/>
    <col min="11" max="11" width="6.7109375" customWidth="1"/>
    <col min="12" max="12" width="5.7109375" customWidth="1"/>
    <col min="14" max="14" width="6.140625" customWidth="1"/>
    <col min="15" max="15" width="7" customWidth="1"/>
    <col min="16" max="16" width="7.140625" customWidth="1"/>
    <col min="17" max="17" width="8.85546875" customWidth="1"/>
    <col min="18" max="18" width="8.140625" customWidth="1"/>
    <col min="19" max="19" width="7" customWidth="1"/>
    <col min="20" max="20" width="6.7109375" customWidth="1"/>
    <col min="21" max="21" width="7.140625" customWidth="1"/>
    <col min="22" max="22" width="8.5703125" customWidth="1"/>
    <col min="23" max="23" width="6.85546875" customWidth="1"/>
    <col min="24" max="24" width="5.42578125" customWidth="1"/>
    <col min="25" max="25" width="6.85546875" customWidth="1"/>
    <col min="26" max="26" width="8" customWidth="1"/>
    <col min="27" max="27" width="4.85546875" customWidth="1"/>
    <col min="28" max="28" width="8" customWidth="1"/>
    <col min="29" max="29" width="7.140625" customWidth="1"/>
    <col min="30" max="30" width="7.5703125" customWidth="1"/>
    <col min="31" max="31" width="56.42578125" customWidth="1"/>
  </cols>
  <sheetData>
    <row r="1" spans="1:31" ht="38.25">
      <c r="A1" s="254" t="s">
        <v>7</v>
      </c>
      <c r="B1" s="254" t="s">
        <v>8</v>
      </c>
      <c r="C1" s="255" t="s">
        <v>9</v>
      </c>
      <c r="D1" s="256" t="s">
        <v>10</v>
      </c>
      <c r="E1" s="256" t="s">
        <v>11</v>
      </c>
      <c r="F1" s="257" t="s">
        <v>12</v>
      </c>
      <c r="G1" s="258" t="s">
        <v>13</v>
      </c>
      <c r="H1" s="259" t="s">
        <v>14</v>
      </c>
      <c r="I1" s="261" t="s">
        <v>15</v>
      </c>
      <c r="J1" s="259" t="s">
        <v>16</v>
      </c>
      <c r="K1" s="259" t="s">
        <v>17</v>
      </c>
      <c r="L1" s="259" t="s">
        <v>18</v>
      </c>
      <c r="M1" s="262" t="s">
        <v>19</v>
      </c>
      <c r="N1" s="259" t="s">
        <v>20</v>
      </c>
      <c r="O1" s="259" t="s">
        <v>21</v>
      </c>
      <c r="P1" s="263" t="s">
        <v>22</v>
      </c>
      <c r="Q1" s="263" t="s">
        <v>23</v>
      </c>
      <c r="R1" s="264" t="s">
        <v>24</v>
      </c>
      <c r="S1" s="263" t="s">
        <v>25</v>
      </c>
      <c r="T1" s="263" t="s">
        <v>26</v>
      </c>
      <c r="U1" s="263" t="s">
        <v>27</v>
      </c>
      <c r="V1" s="263" t="s">
        <v>28</v>
      </c>
      <c r="W1" s="263" t="s">
        <v>29</v>
      </c>
      <c r="X1" s="263" t="s">
        <v>30</v>
      </c>
      <c r="Y1" s="263" t="s">
        <v>31</v>
      </c>
      <c r="Z1" s="263" t="s">
        <v>32</v>
      </c>
      <c r="AA1" s="263" t="s">
        <v>33</v>
      </c>
      <c r="AB1" s="263" t="s">
        <v>34</v>
      </c>
      <c r="AC1" s="265" t="s">
        <v>35</v>
      </c>
      <c r="AD1" s="263" t="s">
        <v>36</v>
      </c>
      <c r="AE1" s="254" t="s">
        <v>37</v>
      </c>
    </row>
    <row r="2" spans="1:31">
      <c r="A2" t="e">
        <f>#REF!</f>
        <v>#REF!</v>
      </c>
      <c r="B2" t="e">
        <f>#REF!</f>
        <v>#REF!</v>
      </c>
      <c r="C2" s="260" t="s">
        <v>38</v>
      </c>
      <c r="D2" t="s">
        <v>39</v>
      </c>
      <c r="E2" s="260" t="s">
        <v>40</v>
      </c>
      <c r="F2" s="260" t="s">
        <v>41</v>
      </c>
      <c r="G2" s="260" t="s">
        <v>42</v>
      </c>
      <c r="H2" t="e">
        <f>#REF!</f>
        <v>#REF!</v>
      </c>
      <c r="I2" s="260" t="s">
        <v>43</v>
      </c>
      <c r="J2" t="e">
        <f>#REF!</f>
        <v>#REF!</v>
      </c>
      <c r="K2" t="e">
        <f>#REF!</f>
        <v>#REF!</v>
      </c>
      <c r="L2" t="e">
        <f>#REF!</f>
        <v>#REF!</v>
      </c>
      <c r="M2" t="e">
        <f>#REF!</f>
        <v>#REF!</v>
      </c>
      <c r="N2" t="e">
        <f>#REF!</f>
        <v>#REF!</v>
      </c>
      <c r="O2" t="e">
        <f>#REF!</f>
        <v>#REF!</v>
      </c>
      <c r="P2" t="e">
        <f>#REF!</f>
        <v>#REF!</v>
      </c>
      <c r="Q2" t="e">
        <f>#REF!</f>
        <v>#REF!</v>
      </c>
      <c r="R2">
        <f t="shared" ref="R2:R15" si="0">0</f>
        <v>0</v>
      </c>
      <c r="S2" t="e">
        <f>#REF!</f>
        <v>#REF!</v>
      </c>
      <c r="T2" t="e">
        <f>#REF!</f>
        <v>#REF!</v>
      </c>
      <c r="U2" t="e">
        <f>#REF!</f>
        <v>#REF!</v>
      </c>
      <c r="V2" t="e">
        <f>#REF!</f>
        <v>#REF!</v>
      </c>
      <c r="W2" t="e">
        <f>#REF!</f>
        <v>#REF!</v>
      </c>
      <c r="X2" t="e">
        <f>#REF!</f>
        <v>#REF!</v>
      </c>
      <c r="Y2" s="96" t="e">
        <f>#REF!</f>
        <v>#REF!</v>
      </c>
      <c r="Z2" t="e">
        <f>#REF!</f>
        <v>#REF!</v>
      </c>
      <c r="AA2" s="96">
        <v>3</v>
      </c>
      <c r="AB2" s="96" t="e">
        <f>V2+W2+X2+Y2+AA2</f>
        <v>#REF!</v>
      </c>
      <c r="AC2" t="e">
        <f>#REF!</f>
        <v>#REF!</v>
      </c>
      <c r="AD2" s="96" t="e">
        <f>#REF!</f>
        <v>#REF!</v>
      </c>
      <c r="AE2" t="e">
        <f>[1]!rswords(AD2)</f>
        <v>#NAME?</v>
      </c>
    </row>
    <row r="3" spans="1:31">
      <c r="A3" t="e">
        <f>#REF!</f>
        <v>#REF!</v>
      </c>
      <c r="B3" t="e">
        <f>#REF!</f>
        <v>#REF!</v>
      </c>
      <c r="C3" s="260" t="s">
        <v>44</v>
      </c>
      <c r="D3" t="s">
        <v>39</v>
      </c>
      <c r="E3" s="260" t="s">
        <v>45</v>
      </c>
      <c r="F3" s="260" t="s">
        <v>46</v>
      </c>
      <c r="G3" s="260" t="s">
        <v>47</v>
      </c>
      <c r="H3" t="e">
        <f>#REF!</f>
        <v>#REF!</v>
      </c>
      <c r="I3" s="260" t="s">
        <v>43</v>
      </c>
      <c r="J3" t="e">
        <f>#REF!</f>
        <v>#REF!</v>
      </c>
      <c r="K3" t="e">
        <f>#REF!</f>
        <v>#REF!</v>
      </c>
      <c r="L3" t="e">
        <f>#REF!</f>
        <v>#REF!</v>
      </c>
      <c r="M3" t="e">
        <f>#REF!</f>
        <v>#REF!</v>
      </c>
      <c r="N3" t="e">
        <f>#REF!</f>
        <v>#REF!</v>
      </c>
      <c r="O3" t="e">
        <f>#REF!</f>
        <v>#REF!</v>
      </c>
      <c r="P3" t="e">
        <f>#REF!</f>
        <v>#REF!</v>
      </c>
      <c r="Q3" t="e">
        <f>#REF!</f>
        <v>#REF!</v>
      </c>
      <c r="R3">
        <f t="shared" si="0"/>
        <v>0</v>
      </c>
      <c r="S3" t="e">
        <f>#REF!</f>
        <v>#REF!</v>
      </c>
      <c r="T3" t="e">
        <f>#REF!</f>
        <v>#REF!</v>
      </c>
      <c r="U3" t="e">
        <f>#REF!</f>
        <v>#REF!</v>
      </c>
      <c r="V3" t="e">
        <f>#REF!</f>
        <v>#REF!</v>
      </c>
      <c r="W3" t="e">
        <f>#REF!</f>
        <v>#REF!</v>
      </c>
      <c r="X3" t="e">
        <f>#REF!</f>
        <v>#REF!</v>
      </c>
      <c r="Y3" s="96" t="e">
        <f>#REF!</f>
        <v>#REF!</v>
      </c>
      <c r="Z3" t="e">
        <f>#REF!</f>
        <v>#REF!</v>
      </c>
      <c r="AA3" s="96">
        <v>3</v>
      </c>
      <c r="AB3" s="96" t="e">
        <f t="shared" ref="AB3:AB15" si="1">V3+W3+X3+Y3+AA3</f>
        <v>#REF!</v>
      </c>
      <c r="AC3" t="e">
        <f>#REF!</f>
        <v>#REF!</v>
      </c>
      <c r="AD3" s="96" t="e">
        <f>#REF!</f>
        <v>#REF!</v>
      </c>
      <c r="AE3" t="e">
        <f>[1]!rswords(AD3)</f>
        <v>#NAME?</v>
      </c>
    </row>
    <row r="4" spans="1:31">
      <c r="A4" t="e">
        <f>#REF!</f>
        <v>#REF!</v>
      </c>
      <c r="B4" t="e">
        <f>#REF!</f>
        <v>#REF!</v>
      </c>
      <c r="C4" s="260" t="s">
        <v>48</v>
      </c>
      <c r="D4" t="s">
        <v>39</v>
      </c>
      <c r="E4" s="260" t="s">
        <v>49</v>
      </c>
      <c r="F4" s="260" t="s">
        <v>50</v>
      </c>
      <c r="G4" s="260" t="s">
        <v>51</v>
      </c>
      <c r="H4" t="e">
        <f>#REF!</f>
        <v>#REF!</v>
      </c>
      <c r="I4" s="260" t="s">
        <v>43</v>
      </c>
      <c r="J4" t="e">
        <f>#REF!</f>
        <v>#REF!</v>
      </c>
      <c r="K4" t="e">
        <f>#REF!</f>
        <v>#REF!</v>
      </c>
      <c r="L4" t="e">
        <f>#REF!</f>
        <v>#REF!</v>
      </c>
      <c r="M4" t="e">
        <f>#REF!</f>
        <v>#REF!</v>
      </c>
      <c r="N4" t="e">
        <f>#REF!</f>
        <v>#REF!</v>
      </c>
      <c r="O4" t="e">
        <f>#REF!</f>
        <v>#REF!</v>
      </c>
      <c r="P4" t="e">
        <f>#REF!</f>
        <v>#REF!</v>
      </c>
      <c r="Q4" t="e">
        <f>#REF!</f>
        <v>#REF!</v>
      </c>
      <c r="R4">
        <f t="shared" si="0"/>
        <v>0</v>
      </c>
      <c r="S4" t="e">
        <f>#REF!</f>
        <v>#REF!</v>
      </c>
      <c r="T4" t="e">
        <f>#REF!</f>
        <v>#REF!</v>
      </c>
      <c r="U4" t="e">
        <f>#REF!</f>
        <v>#REF!</v>
      </c>
      <c r="V4" t="e">
        <f>#REF!</f>
        <v>#REF!</v>
      </c>
      <c r="W4" t="e">
        <f>#REF!</f>
        <v>#REF!</v>
      </c>
      <c r="X4" t="e">
        <f>#REF!</f>
        <v>#REF!</v>
      </c>
      <c r="Y4" s="96" t="e">
        <f>#REF!</f>
        <v>#REF!</v>
      </c>
      <c r="Z4" t="e">
        <f>#REF!</f>
        <v>#REF!</v>
      </c>
      <c r="AA4" s="96">
        <v>3</v>
      </c>
      <c r="AB4" s="96" t="e">
        <f t="shared" si="1"/>
        <v>#REF!</v>
      </c>
      <c r="AC4" t="e">
        <f>#REF!</f>
        <v>#REF!</v>
      </c>
      <c r="AD4" s="96" t="e">
        <f>#REF!</f>
        <v>#REF!</v>
      </c>
      <c r="AE4" t="e">
        <f>[1]!rswords(AD4)</f>
        <v>#NAME?</v>
      </c>
    </row>
    <row r="5" spans="1:31">
      <c r="A5" t="e">
        <f>#REF!</f>
        <v>#REF!</v>
      </c>
      <c r="B5" t="e">
        <f>#REF!</f>
        <v>#REF!</v>
      </c>
      <c r="C5" s="260" t="s">
        <v>52</v>
      </c>
      <c r="D5" t="s">
        <v>39</v>
      </c>
      <c r="E5" s="260" t="s">
        <v>53</v>
      </c>
      <c r="F5" s="260" t="s">
        <v>54</v>
      </c>
      <c r="G5" s="260" t="s">
        <v>55</v>
      </c>
      <c r="H5" t="e">
        <f>#REF!</f>
        <v>#REF!</v>
      </c>
      <c r="I5" s="260" t="s">
        <v>43</v>
      </c>
      <c r="J5" t="e">
        <f>#REF!</f>
        <v>#REF!</v>
      </c>
      <c r="K5" t="e">
        <f>#REF!</f>
        <v>#REF!</v>
      </c>
      <c r="L5" t="e">
        <f>#REF!</f>
        <v>#REF!</v>
      </c>
      <c r="M5" t="e">
        <f>#REF!</f>
        <v>#REF!</v>
      </c>
      <c r="N5" t="e">
        <f>#REF!</f>
        <v>#REF!</v>
      </c>
      <c r="O5" t="e">
        <f>#REF!</f>
        <v>#REF!</v>
      </c>
      <c r="P5" t="e">
        <f>#REF!</f>
        <v>#REF!</v>
      </c>
      <c r="Q5" t="e">
        <f>#REF!</f>
        <v>#REF!</v>
      </c>
      <c r="R5">
        <f t="shared" si="0"/>
        <v>0</v>
      </c>
      <c r="S5" t="e">
        <f>#REF!</f>
        <v>#REF!</v>
      </c>
      <c r="T5" t="e">
        <f>#REF!</f>
        <v>#REF!</v>
      </c>
      <c r="U5" t="e">
        <f>#REF!</f>
        <v>#REF!</v>
      </c>
      <c r="V5" t="e">
        <f>#REF!</f>
        <v>#REF!</v>
      </c>
      <c r="W5" t="e">
        <f>#REF!</f>
        <v>#REF!</v>
      </c>
      <c r="X5" t="e">
        <f>#REF!</f>
        <v>#REF!</v>
      </c>
      <c r="Y5" s="96" t="e">
        <f>#REF!</f>
        <v>#REF!</v>
      </c>
      <c r="Z5" t="e">
        <f>#REF!</f>
        <v>#REF!</v>
      </c>
      <c r="AA5" s="96">
        <v>3</v>
      </c>
      <c r="AB5" s="96" t="e">
        <f t="shared" si="1"/>
        <v>#REF!</v>
      </c>
      <c r="AC5" t="e">
        <f>#REF!</f>
        <v>#REF!</v>
      </c>
      <c r="AD5" s="96" t="e">
        <f>#REF!</f>
        <v>#REF!</v>
      </c>
      <c r="AE5" t="e">
        <f>[1]!rswords(AD5)</f>
        <v>#NAME?</v>
      </c>
    </row>
    <row r="6" spans="1:31">
      <c r="A6" t="e">
        <f>#REF!</f>
        <v>#REF!</v>
      </c>
      <c r="B6" t="e">
        <f>#REF!</f>
        <v>#REF!</v>
      </c>
      <c r="C6" s="260" t="s">
        <v>56</v>
      </c>
      <c r="D6" t="s">
        <v>39</v>
      </c>
      <c r="E6" s="260" t="s">
        <v>57</v>
      </c>
      <c r="F6" s="260" t="s">
        <v>58</v>
      </c>
      <c r="G6" s="260" t="s">
        <v>59</v>
      </c>
      <c r="H6" t="e">
        <f>#REF!</f>
        <v>#REF!</v>
      </c>
      <c r="I6" s="260" t="s">
        <v>60</v>
      </c>
      <c r="J6" t="e">
        <f>#REF!</f>
        <v>#REF!</v>
      </c>
      <c r="K6" t="e">
        <f>#REF!</f>
        <v>#REF!</v>
      </c>
      <c r="L6" t="e">
        <f>#REF!</f>
        <v>#REF!</v>
      </c>
      <c r="M6" t="e">
        <f>#REF!</f>
        <v>#REF!</v>
      </c>
      <c r="N6" t="e">
        <f>#REF!</f>
        <v>#REF!</v>
      </c>
      <c r="O6" t="e">
        <f>#REF!</f>
        <v>#REF!</v>
      </c>
      <c r="P6" t="e">
        <f>#REF!</f>
        <v>#REF!</v>
      </c>
      <c r="Q6" t="e">
        <f>#REF!</f>
        <v>#REF!</v>
      </c>
      <c r="R6">
        <f t="shared" si="0"/>
        <v>0</v>
      </c>
      <c r="S6" t="e">
        <f>#REF!</f>
        <v>#REF!</v>
      </c>
      <c r="T6" t="e">
        <f>#REF!</f>
        <v>#REF!</v>
      </c>
      <c r="U6" t="e">
        <f>#REF!</f>
        <v>#REF!</v>
      </c>
      <c r="V6" t="e">
        <f>#REF!</f>
        <v>#REF!</v>
      </c>
      <c r="W6" t="e">
        <f>#REF!</f>
        <v>#REF!</v>
      </c>
      <c r="X6" t="e">
        <f>#REF!</f>
        <v>#REF!</v>
      </c>
      <c r="Y6" s="96" t="e">
        <f>#REF!</f>
        <v>#REF!</v>
      </c>
      <c r="Z6" t="e">
        <f>#REF!</f>
        <v>#REF!</v>
      </c>
      <c r="AA6" s="96">
        <v>3</v>
      </c>
      <c r="AB6" s="96" t="e">
        <f t="shared" si="1"/>
        <v>#REF!</v>
      </c>
      <c r="AC6" t="e">
        <f>#REF!</f>
        <v>#REF!</v>
      </c>
      <c r="AD6" s="96" t="e">
        <f>#REF!</f>
        <v>#REF!</v>
      </c>
      <c r="AE6" t="e">
        <f>[1]!rswords(AD6)</f>
        <v>#NAME?</v>
      </c>
    </row>
    <row r="7" spans="1:31">
      <c r="A7" t="e">
        <f>#REF!</f>
        <v>#REF!</v>
      </c>
      <c r="B7" t="e">
        <f>#REF!</f>
        <v>#REF!</v>
      </c>
      <c r="C7" s="260" t="s">
        <v>61</v>
      </c>
      <c r="D7" t="s">
        <v>39</v>
      </c>
      <c r="E7" s="260" t="s">
        <v>62</v>
      </c>
      <c r="F7" s="260" t="s">
        <v>63</v>
      </c>
      <c r="G7" s="260" t="s">
        <v>64</v>
      </c>
      <c r="H7" t="e">
        <f>#REF!</f>
        <v>#REF!</v>
      </c>
      <c r="I7" s="260" t="s">
        <v>65</v>
      </c>
      <c r="J7" t="e">
        <f>#REF!</f>
        <v>#REF!</v>
      </c>
      <c r="K7" t="e">
        <f>#REF!</f>
        <v>#REF!</v>
      </c>
      <c r="L7" t="e">
        <f>#REF!</f>
        <v>#REF!</v>
      </c>
      <c r="M7" t="e">
        <f>#REF!</f>
        <v>#REF!</v>
      </c>
      <c r="N7" t="e">
        <f>#REF!</f>
        <v>#REF!</v>
      </c>
      <c r="O7" t="e">
        <f>#REF!</f>
        <v>#REF!</v>
      </c>
      <c r="P7" t="e">
        <f>#REF!</f>
        <v>#REF!</v>
      </c>
      <c r="Q7" t="e">
        <f>#REF!</f>
        <v>#REF!</v>
      </c>
      <c r="R7">
        <f t="shared" si="0"/>
        <v>0</v>
      </c>
      <c r="S7" t="e">
        <f>#REF!</f>
        <v>#REF!</v>
      </c>
      <c r="T7" t="e">
        <f>#REF!</f>
        <v>#REF!</v>
      </c>
      <c r="U7" t="e">
        <f>#REF!</f>
        <v>#REF!</v>
      </c>
      <c r="V7" t="e">
        <f>#REF!</f>
        <v>#REF!</v>
      </c>
      <c r="W7" t="e">
        <f>#REF!</f>
        <v>#REF!</v>
      </c>
      <c r="X7" t="e">
        <f>#REF!</f>
        <v>#REF!</v>
      </c>
      <c r="Y7" s="96" t="e">
        <f>#REF!</f>
        <v>#REF!</v>
      </c>
      <c r="Z7" t="e">
        <f>#REF!</f>
        <v>#REF!</v>
      </c>
      <c r="AA7" s="96">
        <v>3</v>
      </c>
      <c r="AB7" s="96" t="e">
        <f t="shared" si="1"/>
        <v>#REF!</v>
      </c>
      <c r="AC7" t="e">
        <f>#REF!</f>
        <v>#REF!</v>
      </c>
      <c r="AD7" s="96" t="e">
        <f>#REF!</f>
        <v>#REF!</v>
      </c>
      <c r="AE7" t="e">
        <f>[1]!rswords(AD7)</f>
        <v>#NAME?</v>
      </c>
    </row>
    <row r="8" spans="1:31">
      <c r="A8" t="e">
        <f>#REF!</f>
        <v>#REF!</v>
      </c>
      <c r="B8" t="e">
        <f>#REF!</f>
        <v>#REF!</v>
      </c>
      <c r="C8" s="260" t="s">
        <v>66</v>
      </c>
      <c r="D8" t="s">
        <v>39</v>
      </c>
      <c r="E8" s="260" t="s">
        <v>67</v>
      </c>
      <c r="F8" s="260" t="s">
        <v>68</v>
      </c>
      <c r="G8" s="260" t="s">
        <v>69</v>
      </c>
      <c r="H8" t="e">
        <f>#REF!</f>
        <v>#REF!</v>
      </c>
      <c r="I8" s="260" t="s">
        <v>70</v>
      </c>
      <c r="J8" t="e">
        <f>#REF!</f>
        <v>#REF!</v>
      </c>
      <c r="K8" t="e">
        <f>#REF!</f>
        <v>#REF!</v>
      </c>
      <c r="L8" t="e">
        <f>#REF!</f>
        <v>#REF!</v>
      </c>
      <c r="M8" t="e">
        <f>#REF!</f>
        <v>#REF!</v>
      </c>
      <c r="N8" t="e">
        <f>#REF!</f>
        <v>#REF!</v>
      </c>
      <c r="O8" t="e">
        <f>#REF!</f>
        <v>#REF!</v>
      </c>
      <c r="P8" t="e">
        <f>#REF!</f>
        <v>#REF!</v>
      </c>
      <c r="Q8" t="e">
        <f>#REF!</f>
        <v>#REF!</v>
      </c>
      <c r="R8">
        <f t="shared" si="0"/>
        <v>0</v>
      </c>
      <c r="S8" t="e">
        <f>#REF!</f>
        <v>#REF!</v>
      </c>
      <c r="T8" t="e">
        <f>#REF!</f>
        <v>#REF!</v>
      </c>
      <c r="U8" t="e">
        <f>#REF!</f>
        <v>#REF!</v>
      </c>
      <c r="V8" t="e">
        <f>#REF!</f>
        <v>#REF!</v>
      </c>
      <c r="W8" t="e">
        <f>#REF!</f>
        <v>#REF!</v>
      </c>
      <c r="X8" t="e">
        <f>#REF!</f>
        <v>#REF!</v>
      </c>
      <c r="Y8" s="96" t="e">
        <f>#REF!</f>
        <v>#REF!</v>
      </c>
      <c r="Z8" t="e">
        <f>#REF!</f>
        <v>#REF!</v>
      </c>
      <c r="AA8" s="96">
        <v>3</v>
      </c>
      <c r="AB8" s="96" t="e">
        <f t="shared" si="1"/>
        <v>#REF!</v>
      </c>
      <c r="AC8" t="e">
        <f>#REF!</f>
        <v>#REF!</v>
      </c>
      <c r="AD8" s="96" t="e">
        <f>#REF!</f>
        <v>#REF!</v>
      </c>
      <c r="AE8" t="e">
        <f>[1]!rswords(AD8)</f>
        <v>#NAME?</v>
      </c>
    </row>
    <row r="9" spans="1:31">
      <c r="A9" t="e">
        <f>#REF!</f>
        <v>#REF!</v>
      </c>
      <c r="B9" t="e">
        <f>#REF!</f>
        <v>#REF!</v>
      </c>
      <c r="C9" s="260" t="s">
        <v>71</v>
      </c>
      <c r="D9" t="s">
        <v>39</v>
      </c>
      <c r="E9" s="260" t="s">
        <v>72</v>
      </c>
      <c r="F9" s="260" t="s">
        <v>73</v>
      </c>
      <c r="G9" s="260" t="s">
        <v>74</v>
      </c>
      <c r="H9" t="e">
        <f>#REF!</f>
        <v>#REF!</v>
      </c>
      <c r="I9" s="260" t="s">
        <v>75</v>
      </c>
      <c r="J9" t="e">
        <f>#REF!</f>
        <v>#REF!</v>
      </c>
      <c r="K9" t="e">
        <f>#REF!</f>
        <v>#REF!</v>
      </c>
      <c r="L9" t="e">
        <f>#REF!</f>
        <v>#REF!</v>
      </c>
      <c r="M9" t="e">
        <f>#REF!</f>
        <v>#REF!</v>
      </c>
      <c r="N9" t="e">
        <f>#REF!</f>
        <v>#REF!</v>
      </c>
      <c r="O9" t="e">
        <f>#REF!</f>
        <v>#REF!</v>
      </c>
      <c r="P9" t="e">
        <f>#REF!</f>
        <v>#REF!</v>
      </c>
      <c r="Q9" t="e">
        <f>#REF!</f>
        <v>#REF!</v>
      </c>
      <c r="R9">
        <f t="shared" si="0"/>
        <v>0</v>
      </c>
      <c r="S9" t="e">
        <f>#REF!</f>
        <v>#REF!</v>
      </c>
      <c r="T9" t="e">
        <f>#REF!</f>
        <v>#REF!</v>
      </c>
      <c r="U9" t="e">
        <f>#REF!</f>
        <v>#REF!</v>
      </c>
      <c r="V9" t="e">
        <f>#REF!</f>
        <v>#REF!</v>
      </c>
      <c r="W9" t="e">
        <f>#REF!</f>
        <v>#REF!</v>
      </c>
      <c r="X9" t="e">
        <f>#REF!</f>
        <v>#REF!</v>
      </c>
      <c r="Y9" s="96" t="e">
        <f>#REF!</f>
        <v>#REF!</v>
      </c>
      <c r="Z9" t="e">
        <f>#REF!</f>
        <v>#REF!</v>
      </c>
      <c r="AA9" s="96">
        <v>3</v>
      </c>
      <c r="AB9" s="96" t="e">
        <f t="shared" si="1"/>
        <v>#REF!</v>
      </c>
      <c r="AC9" t="e">
        <f>#REF!</f>
        <v>#REF!</v>
      </c>
      <c r="AD9" s="96" t="e">
        <f>#REF!</f>
        <v>#REF!</v>
      </c>
      <c r="AE9" t="e">
        <f>[1]!rswords(AD9)</f>
        <v>#NAME?</v>
      </c>
    </row>
    <row r="10" spans="1:31">
      <c r="A10" t="e">
        <f>#REF!</f>
        <v>#REF!</v>
      </c>
      <c r="B10" t="e">
        <f>#REF!</f>
        <v>#REF!</v>
      </c>
      <c r="C10" s="260" t="s">
        <v>76</v>
      </c>
      <c r="D10" t="s">
        <v>39</v>
      </c>
      <c r="E10" s="260" t="s">
        <v>77</v>
      </c>
      <c r="F10" s="260" t="s">
        <v>78</v>
      </c>
      <c r="G10" s="260" t="s">
        <v>79</v>
      </c>
      <c r="H10" t="e">
        <f>#REF!</f>
        <v>#REF!</v>
      </c>
      <c r="I10" s="260" t="s">
        <v>80</v>
      </c>
      <c r="J10" t="e">
        <f>#REF!</f>
        <v>#REF!</v>
      </c>
      <c r="K10" t="e">
        <f>#REF!</f>
        <v>#REF!</v>
      </c>
      <c r="L10" t="e">
        <f>#REF!</f>
        <v>#REF!</v>
      </c>
      <c r="M10" t="e">
        <f>#REF!</f>
        <v>#REF!</v>
      </c>
      <c r="N10" t="e">
        <f>#REF!</f>
        <v>#REF!</v>
      </c>
      <c r="O10" t="e">
        <f>#REF!</f>
        <v>#REF!</v>
      </c>
      <c r="P10" t="e">
        <f>#REF!</f>
        <v>#REF!</v>
      </c>
      <c r="Q10" t="e">
        <f>#REF!</f>
        <v>#REF!</v>
      </c>
      <c r="R10">
        <f t="shared" si="0"/>
        <v>0</v>
      </c>
      <c r="S10" t="e">
        <f>#REF!</f>
        <v>#REF!</v>
      </c>
      <c r="T10" t="e">
        <f>#REF!</f>
        <v>#REF!</v>
      </c>
      <c r="U10" t="e">
        <f>#REF!</f>
        <v>#REF!</v>
      </c>
      <c r="V10" t="e">
        <f>#REF!</f>
        <v>#REF!</v>
      </c>
      <c r="W10" t="e">
        <f>#REF!</f>
        <v>#REF!</v>
      </c>
      <c r="X10" t="e">
        <f>#REF!</f>
        <v>#REF!</v>
      </c>
      <c r="Y10" s="96" t="e">
        <f>#REF!</f>
        <v>#REF!</v>
      </c>
      <c r="Z10" t="e">
        <f>#REF!</f>
        <v>#REF!</v>
      </c>
      <c r="AA10" s="96">
        <v>3</v>
      </c>
      <c r="AB10" s="96" t="e">
        <f t="shared" si="1"/>
        <v>#REF!</v>
      </c>
      <c r="AC10" t="e">
        <f>#REF!</f>
        <v>#REF!</v>
      </c>
      <c r="AD10" s="96" t="e">
        <f>#REF!</f>
        <v>#REF!</v>
      </c>
      <c r="AE10" t="e">
        <f>[1]!rswords(AD10)</f>
        <v>#NAME?</v>
      </c>
    </row>
    <row r="11" spans="1:31">
      <c r="A11">
        <f>'Left Employee'!A50</f>
        <v>9</v>
      </c>
      <c r="B11" t="str">
        <f>'Left Employee'!B50</f>
        <v>SGS/RIL/NLR-FC/0011</v>
      </c>
      <c r="C11" s="260" t="s">
        <v>81</v>
      </c>
      <c r="D11" t="s">
        <v>39</v>
      </c>
      <c r="E11" s="260" t="s">
        <v>82</v>
      </c>
      <c r="F11" s="260" t="s">
        <v>83</v>
      </c>
      <c r="G11" s="260" t="s">
        <v>84</v>
      </c>
      <c r="H11" t="str">
        <f>'Left Employee'!D50</f>
        <v>K.BRAMAIAH</v>
      </c>
      <c r="I11" s="260" t="s">
        <v>85</v>
      </c>
      <c r="J11" t="str">
        <f>'Left Employee'!N50</f>
        <v>PICKER / PACKER</v>
      </c>
      <c r="K11">
        <f>'Left Employee'!P50</f>
        <v>28</v>
      </c>
      <c r="L11">
        <f>'Left Employee'!Q50</f>
        <v>3</v>
      </c>
      <c r="M11">
        <f>'Left Employee'!R50</f>
        <v>0</v>
      </c>
      <c r="N11">
        <f>'Left Employee'!S50</f>
        <v>0</v>
      </c>
      <c r="O11">
        <f>'Left Employee'!AJ50</f>
        <v>0</v>
      </c>
      <c r="P11">
        <f>'Left Employee'!AE50</f>
        <v>1343</v>
      </c>
      <c r="Q11">
        <f>'Left Employee'!AF50</f>
        <v>30</v>
      </c>
      <c r="R11">
        <f t="shared" si="0"/>
        <v>0</v>
      </c>
      <c r="S11">
        <f>'Left Employee'!AK50</f>
        <v>112</v>
      </c>
      <c r="T11">
        <f>'Left Employee'!AI50</f>
        <v>168</v>
      </c>
      <c r="U11">
        <f>'Left Employee'!AL50</f>
        <v>1653</v>
      </c>
      <c r="V11">
        <f>'Left Employee'!AV50</f>
        <v>161</v>
      </c>
      <c r="W11">
        <f>'Left Employee'!AW50</f>
        <v>13</v>
      </c>
      <c r="X11">
        <f>'Left Employee'!AY50</f>
        <v>0</v>
      </c>
      <c r="Y11" s="96">
        <f>'Left Employee'!BH50</f>
        <v>0</v>
      </c>
      <c r="Z11">
        <f>'Left Employee'!BA50</f>
        <v>1477</v>
      </c>
      <c r="AA11" s="96">
        <v>3</v>
      </c>
      <c r="AB11" s="96">
        <f t="shared" si="1"/>
        <v>177</v>
      </c>
      <c r="AC11">
        <f>'Left Employee'!AM50</f>
        <v>0</v>
      </c>
      <c r="AD11" s="96">
        <f>'Left Employee'!BI50</f>
        <v>1477</v>
      </c>
      <c r="AE11" t="e">
        <f>[1]!rswords(AD11)</f>
        <v>#NAME?</v>
      </c>
    </row>
    <row r="12" spans="1:31">
      <c r="A12">
        <f>'Left Employee'!A51</f>
        <v>10</v>
      </c>
      <c r="B12" t="str">
        <f>'Left Employee'!B51</f>
        <v>SGS/RIL/NLR-FC/0010</v>
      </c>
      <c r="C12" s="260" t="s">
        <v>86</v>
      </c>
      <c r="D12" t="s">
        <v>39</v>
      </c>
      <c r="E12" s="260" t="s">
        <v>87</v>
      </c>
      <c r="F12" s="260" t="s">
        <v>88</v>
      </c>
      <c r="G12" s="260" t="s">
        <v>89</v>
      </c>
      <c r="H12" t="str">
        <f>'Left Employee'!D51</f>
        <v>SYAM KUMAR</v>
      </c>
      <c r="I12" s="260" t="s">
        <v>90</v>
      </c>
      <c r="J12" t="str">
        <f>'Left Employee'!N51</f>
        <v>PICKER / PACKER</v>
      </c>
      <c r="K12">
        <f>'Left Employee'!P51</f>
        <v>28</v>
      </c>
      <c r="L12">
        <f>'Left Employee'!Q51</f>
        <v>28</v>
      </c>
      <c r="M12">
        <f>'Left Employee'!R51</f>
        <v>0</v>
      </c>
      <c r="N12">
        <f>'Left Employee'!S51</f>
        <v>0</v>
      </c>
      <c r="O12">
        <f>'Left Employee'!AJ51</f>
        <v>0</v>
      </c>
      <c r="P12">
        <f>'Left Employee'!AE51</f>
        <v>12531</v>
      </c>
      <c r="Q12">
        <f>'Left Employee'!AF51</f>
        <v>281</v>
      </c>
      <c r="R12">
        <f t="shared" si="0"/>
        <v>0</v>
      </c>
      <c r="S12">
        <f>'Left Employee'!AK51</f>
        <v>1044</v>
      </c>
      <c r="T12">
        <f>'Left Employee'!AI51</f>
        <v>1566</v>
      </c>
      <c r="U12">
        <f>'Left Employee'!AL51</f>
        <v>15422</v>
      </c>
      <c r="V12">
        <f>'Left Employee'!AV51</f>
        <v>1504</v>
      </c>
      <c r="W12">
        <f>'Left Employee'!AW51</f>
        <v>116</v>
      </c>
      <c r="X12">
        <f>'Left Employee'!AY51</f>
        <v>150</v>
      </c>
      <c r="Y12" s="96">
        <f>'Left Employee'!BH51</f>
        <v>0</v>
      </c>
      <c r="Z12">
        <f>'Left Employee'!BA51</f>
        <v>13650</v>
      </c>
      <c r="AA12" s="96">
        <v>3</v>
      </c>
      <c r="AB12" s="96">
        <f t="shared" si="1"/>
        <v>1773</v>
      </c>
      <c r="AC12">
        <f>'Left Employee'!AM51</f>
        <v>0</v>
      </c>
      <c r="AD12" s="96">
        <f>'Left Employee'!BI51</f>
        <v>13650</v>
      </c>
      <c r="AE12" t="e">
        <f>[1]!rswords(AD12)</f>
        <v>#NAME?</v>
      </c>
    </row>
    <row r="13" spans="1:31">
      <c r="A13" t="e">
        <f>#REF!</f>
        <v>#REF!</v>
      </c>
      <c r="B13" t="e">
        <f>#REF!</f>
        <v>#REF!</v>
      </c>
      <c r="C13" s="260" t="s">
        <v>91</v>
      </c>
      <c r="D13" t="s">
        <v>39</v>
      </c>
      <c r="E13" s="260" t="s">
        <v>92</v>
      </c>
      <c r="F13" s="260" t="s">
        <v>93</v>
      </c>
      <c r="G13" s="260" t="s">
        <v>94</v>
      </c>
      <c r="H13" t="e">
        <f>#REF!</f>
        <v>#REF!</v>
      </c>
      <c r="I13" s="260" t="s">
        <v>95</v>
      </c>
      <c r="J13" t="e">
        <f>#REF!</f>
        <v>#REF!</v>
      </c>
      <c r="K13" t="e">
        <f>#REF!</f>
        <v>#REF!</v>
      </c>
      <c r="L13" t="e">
        <f>#REF!</f>
        <v>#REF!</v>
      </c>
      <c r="M13" t="e">
        <f>#REF!</f>
        <v>#REF!</v>
      </c>
      <c r="N13" t="e">
        <f>#REF!</f>
        <v>#REF!</v>
      </c>
      <c r="O13" t="e">
        <f>#REF!</f>
        <v>#REF!</v>
      </c>
      <c r="P13" t="e">
        <f>#REF!</f>
        <v>#REF!</v>
      </c>
      <c r="Q13" t="e">
        <f>#REF!</f>
        <v>#REF!</v>
      </c>
      <c r="R13">
        <f t="shared" si="0"/>
        <v>0</v>
      </c>
      <c r="S13" t="e">
        <f>#REF!</f>
        <v>#REF!</v>
      </c>
      <c r="T13" t="e">
        <f>#REF!</f>
        <v>#REF!</v>
      </c>
      <c r="U13" t="e">
        <f>#REF!</f>
        <v>#REF!</v>
      </c>
      <c r="V13" t="e">
        <f>#REF!</f>
        <v>#REF!</v>
      </c>
      <c r="W13" t="e">
        <f>#REF!</f>
        <v>#REF!</v>
      </c>
      <c r="X13" t="e">
        <f>#REF!</f>
        <v>#REF!</v>
      </c>
      <c r="Y13" s="96" t="e">
        <f>#REF!</f>
        <v>#REF!</v>
      </c>
      <c r="Z13" t="e">
        <f>#REF!</f>
        <v>#REF!</v>
      </c>
      <c r="AA13" s="96">
        <v>3</v>
      </c>
      <c r="AB13" s="96" t="e">
        <f t="shared" si="1"/>
        <v>#REF!</v>
      </c>
      <c r="AC13" t="e">
        <f>#REF!</f>
        <v>#REF!</v>
      </c>
      <c r="AD13" s="96" t="e">
        <f>#REF!</f>
        <v>#REF!</v>
      </c>
      <c r="AE13" t="e">
        <f>[1]!rswords(AD13)</f>
        <v>#NAME?</v>
      </c>
    </row>
    <row r="14" spans="1:31">
      <c r="A14" t="e">
        <f>#REF!</f>
        <v>#REF!</v>
      </c>
      <c r="B14" t="e">
        <f>#REF!</f>
        <v>#REF!</v>
      </c>
      <c r="C14" s="260" t="s">
        <v>96</v>
      </c>
      <c r="D14" t="s">
        <v>39</v>
      </c>
      <c r="E14" s="260" t="s">
        <v>97</v>
      </c>
      <c r="F14" s="260" t="s">
        <v>98</v>
      </c>
      <c r="G14" s="260" t="s">
        <v>99</v>
      </c>
      <c r="H14" t="e">
        <f>#REF!</f>
        <v>#REF!</v>
      </c>
      <c r="I14" s="260" t="s">
        <v>95</v>
      </c>
      <c r="J14" t="e">
        <f>#REF!</f>
        <v>#REF!</v>
      </c>
      <c r="K14" t="e">
        <f>#REF!</f>
        <v>#REF!</v>
      </c>
      <c r="L14" t="e">
        <f>#REF!</f>
        <v>#REF!</v>
      </c>
      <c r="M14" t="e">
        <f>#REF!</f>
        <v>#REF!</v>
      </c>
      <c r="N14" t="e">
        <f>#REF!</f>
        <v>#REF!</v>
      </c>
      <c r="O14" t="e">
        <f>#REF!</f>
        <v>#REF!</v>
      </c>
      <c r="P14" t="e">
        <f>#REF!</f>
        <v>#REF!</v>
      </c>
      <c r="Q14" t="e">
        <f>#REF!</f>
        <v>#REF!</v>
      </c>
      <c r="R14">
        <f t="shared" si="0"/>
        <v>0</v>
      </c>
      <c r="S14" t="e">
        <f>#REF!</f>
        <v>#REF!</v>
      </c>
      <c r="T14" t="e">
        <f>#REF!</f>
        <v>#REF!</v>
      </c>
      <c r="U14" t="e">
        <f>#REF!</f>
        <v>#REF!</v>
      </c>
      <c r="V14" t="e">
        <f>#REF!</f>
        <v>#REF!</v>
      </c>
      <c r="W14" t="e">
        <f>#REF!</f>
        <v>#REF!</v>
      </c>
      <c r="X14" t="e">
        <f>#REF!</f>
        <v>#REF!</v>
      </c>
      <c r="Y14" s="96" t="e">
        <f>#REF!</f>
        <v>#REF!</v>
      </c>
      <c r="Z14" t="e">
        <f>#REF!</f>
        <v>#REF!</v>
      </c>
      <c r="AA14" s="96">
        <v>3</v>
      </c>
      <c r="AB14" s="96" t="e">
        <f t="shared" si="1"/>
        <v>#REF!</v>
      </c>
      <c r="AC14" t="e">
        <f>#REF!</f>
        <v>#REF!</v>
      </c>
      <c r="AD14" s="96" t="e">
        <f>#REF!</f>
        <v>#REF!</v>
      </c>
      <c r="AE14" t="e">
        <f>[1]!rswords(AD14)</f>
        <v>#NAME?</v>
      </c>
    </row>
    <row r="15" spans="1:31">
      <c r="A15" t="e">
        <f>#REF!</f>
        <v>#REF!</v>
      </c>
      <c r="B15" t="e">
        <f>#REF!</f>
        <v>#REF!</v>
      </c>
      <c r="C15" s="260" t="s">
        <v>100</v>
      </c>
      <c r="D15" t="s">
        <v>39</v>
      </c>
      <c r="E15" s="260" t="s">
        <v>101</v>
      </c>
      <c r="F15" s="260" t="s">
        <v>102</v>
      </c>
      <c r="G15" s="260" t="s">
        <v>103</v>
      </c>
      <c r="H15" t="e">
        <f>#REF!</f>
        <v>#REF!</v>
      </c>
      <c r="I15" s="260" t="s">
        <v>104</v>
      </c>
      <c r="J15" t="e">
        <f>#REF!</f>
        <v>#REF!</v>
      </c>
      <c r="K15" t="e">
        <f>#REF!</f>
        <v>#REF!</v>
      </c>
      <c r="L15" t="e">
        <f>#REF!</f>
        <v>#REF!</v>
      </c>
      <c r="M15" t="e">
        <f>#REF!</f>
        <v>#REF!</v>
      </c>
      <c r="N15" t="e">
        <f>#REF!</f>
        <v>#REF!</v>
      </c>
      <c r="O15" t="e">
        <f>#REF!</f>
        <v>#REF!</v>
      </c>
      <c r="P15" t="e">
        <f>#REF!</f>
        <v>#REF!</v>
      </c>
      <c r="Q15" t="e">
        <f>#REF!</f>
        <v>#REF!</v>
      </c>
      <c r="R15">
        <f t="shared" si="0"/>
        <v>0</v>
      </c>
      <c r="S15" t="e">
        <f>#REF!</f>
        <v>#REF!</v>
      </c>
      <c r="T15" t="e">
        <f>#REF!</f>
        <v>#REF!</v>
      </c>
      <c r="U15" t="e">
        <f>#REF!</f>
        <v>#REF!</v>
      </c>
      <c r="V15" t="e">
        <f>#REF!</f>
        <v>#REF!</v>
      </c>
      <c r="W15" t="e">
        <f>#REF!</f>
        <v>#REF!</v>
      </c>
      <c r="X15" t="e">
        <f>#REF!</f>
        <v>#REF!</v>
      </c>
      <c r="Y15" s="96" t="e">
        <f>#REF!</f>
        <v>#REF!</v>
      </c>
      <c r="Z15" t="e">
        <f>#REF!</f>
        <v>#REF!</v>
      </c>
      <c r="AA15" s="96">
        <v>3</v>
      </c>
      <c r="AB15" s="96" t="e">
        <f t="shared" si="1"/>
        <v>#REF!</v>
      </c>
      <c r="AC15" t="e">
        <f>#REF!</f>
        <v>#REF!</v>
      </c>
      <c r="AD15" s="96" t="e">
        <f>#REF!</f>
        <v>#REF!</v>
      </c>
      <c r="AE15" t="e">
        <f>[1]!rswords(AD15)</f>
        <v>#NAME?</v>
      </c>
    </row>
  </sheetData>
  <conditionalFormatting sqref="H1">
    <cfRule type="duplicateValues" dxfId="100" priority="1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19"/>
  <sheetViews>
    <sheetView topLeftCell="N1" workbookViewId="0">
      <selection activeCell="AN4" sqref="AN4:AN18"/>
    </sheetView>
  </sheetViews>
  <sheetFormatPr defaultColWidth="9" defaultRowHeight="15"/>
  <cols>
    <col min="1" max="1" width="6" customWidth="1"/>
    <col min="2" max="2" width="15.140625" customWidth="1"/>
    <col min="3" max="3" width="22.42578125" customWidth="1"/>
    <col min="4" max="4" width="11.42578125" customWidth="1"/>
    <col min="5" max="5" width="13.85546875" style="189" customWidth="1"/>
    <col min="6" max="6" width="10.140625" customWidth="1"/>
    <col min="7" max="10" width="6.5703125" style="189" customWidth="1"/>
    <col min="11" max="11" width="7.28515625" style="189" customWidth="1"/>
    <col min="12" max="22" width="6.5703125" style="189" customWidth="1"/>
    <col min="23" max="23" width="7.28515625" style="189" customWidth="1"/>
    <col min="24" max="24" width="7.140625" style="189" customWidth="1"/>
    <col min="25" max="34" width="6.5703125" style="189" customWidth="1"/>
    <col min="35" max="35" width="8.5703125" customWidth="1"/>
    <col min="36" max="36" width="6.42578125" customWidth="1"/>
    <col min="37" max="38" width="7" customWidth="1"/>
    <col min="39" max="39" width="7.85546875" customWidth="1"/>
    <col min="40" max="40" width="5.5703125" customWidth="1"/>
  </cols>
  <sheetData>
    <row r="1" spans="1:40">
      <c r="C1" s="236" t="s">
        <v>105</v>
      </c>
      <c r="D1" s="237">
        <v>46054</v>
      </c>
    </row>
    <row r="2" spans="1:40">
      <c r="A2" s="276" t="s">
        <v>106</v>
      </c>
      <c r="B2" s="278" t="s">
        <v>107</v>
      </c>
      <c r="C2" s="280" t="s">
        <v>108</v>
      </c>
      <c r="D2" s="280" t="s">
        <v>109</v>
      </c>
      <c r="E2" s="276" t="s">
        <v>110</v>
      </c>
      <c r="F2" s="278" t="s">
        <v>111</v>
      </c>
      <c r="G2" s="238">
        <f>+D1</f>
        <v>46054</v>
      </c>
      <c r="H2" s="238">
        <f>+G2+1</f>
        <v>46055</v>
      </c>
      <c r="I2" s="238">
        <f t="shared" ref="I2:AH2" si="0">+H2+1</f>
        <v>46056</v>
      </c>
      <c r="J2" s="238">
        <f t="shared" si="0"/>
        <v>46057</v>
      </c>
      <c r="K2" s="238">
        <f t="shared" si="0"/>
        <v>46058</v>
      </c>
      <c r="L2" s="238">
        <f t="shared" si="0"/>
        <v>46059</v>
      </c>
      <c r="M2" s="238">
        <f t="shared" si="0"/>
        <v>46060</v>
      </c>
      <c r="N2" s="238">
        <f t="shared" si="0"/>
        <v>46061</v>
      </c>
      <c r="O2" s="238">
        <f t="shared" si="0"/>
        <v>46062</v>
      </c>
      <c r="P2" s="238">
        <f t="shared" si="0"/>
        <v>46063</v>
      </c>
      <c r="Q2" s="238">
        <f t="shared" si="0"/>
        <v>46064</v>
      </c>
      <c r="R2" s="238">
        <f t="shared" si="0"/>
        <v>46065</v>
      </c>
      <c r="S2" s="238">
        <f t="shared" si="0"/>
        <v>46066</v>
      </c>
      <c r="T2" s="238">
        <f t="shared" si="0"/>
        <v>46067</v>
      </c>
      <c r="U2" s="238">
        <f t="shared" si="0"/>
        <v>46068</v>
      </c>
      <c r="V2" s="238">
        <f t="shared" si="0"/>
        <v>46069</v>
      </c>
      <c r="W2" s="238">
        <f t="shared" si="0"/>
        <v>46070</v>
      </c>
      <c r="X2" s="238">
        <f t="shared" si="0"/>
        <v>46071</v>
      </c>
      <c r="Y2" s="238">
        <f t="shared" si="0"/>
        <v>46072</v>
      </c>
      <c r="Z2" s="238">
        <f t="shared" si="0"/>
        <v>46073</v>
      </c>
      <c r="AA2" s="238">
        <f t="shared" si="0"/>
        <v>46074</v>
      </c>
      <c r="AB2" s="238">
        <f t="shared" si="0"/>
        <v>46075</v>
      </c>
      <c r="AC2" s="238">
        <f t="shared" si="0"/>
        <v>46076</v>
      </c>
      <c r="AD2" s="238">
        <f t="shared" si="0"/>
        <v>46077</v>
      </c>
      <c r="AE2" s="238">
        <f t="shared" si="0"/>
        <v>46078</v>
      </c>
      <c r="AF2" s="238">
        <f t="shared" si="0"/>
        <v>46079</v>
      </c>
      <c r="AG2" s="238">
        <f t="shared" si="0"/>
        <v>46080</v>
      </c>
      <c r="AH2" s="238">
        <f t="shared" si="0"/>
        <v>46081</v>
      </c>
      <c r="AI2" s="281" t="s">
        <v>112</v>
      </c>
      <c r="AJ2" s="281" t="s">
        <v>113</v>
      </c>
      <c r="AK2" s="281" t="s">
        <v>114</v>
      </c>
      <c r="AL2" s="281" t="s">
        <v>115</v>
      </c>
      <c r="AM2" s="281" t="s">
        <v>116</v>
      </c>
      <c r="AN2" s="281" t="s">
        <v>117</v>
      </c>
    </row>
    <row r="3" spans="1:40">
      <c r="A3" s="277"/>
      <c r="B3" s="279"/>
      <c r="C3" s="277"/>
      <c r="D3" s="277"/>
      <c r="E3" s="277"/>
      <c r="F3" s="279"/>
      <c r="G3" s="239" t="str">
        <f>TEXT(G2,"DDD")</f>
        <v>Sun</v>
      </c>
      <c r="H3" s="239" t="str">
        <f t="shared" ref="H3:AH3" si="1">TEXT(H2,"DDD")</f>
        <v>Mon</v>
      </c>
      <c r="I3" s="239" t="str">
        <f t="shared" si="1"/>
        <v>Tue</v>
      </c>
      <c r="J3" s="239" t="str">
        <f t="shared" si="1"/>
        <v>Wed</v>
      </c>
      <c r="K3" s="239" t="str">
        <f t="shared" si="1"/>
        <v>Thu</v>
      </c>
      <c r="L3" s="239" t="str">
        <f t="shared" si="1"/>
        <v>Fri</v>
      </c>
      <c r="M3" s="239" t="str">
        <f t="shared" si="1"/>
        <v>Sat</v>
      </c>
      <c r="N3" s="239" t="str">
        <f t="shared" si="1"/>
        <v>Sun</v>
      </c>
      <c r="O3" s="239" t="str">
        <f t="shared" si="1"/>
        <v>Mon</v>
      </c>
      <c r="P3" s="239" t="str">
        <f t="shared" si="1"/>
        <v>Tue</v>
      </c>
      <c r="Q3" s="239" t="str">
        <f t="shared" si="1"/>
        <v>Wed</v>
      </c>
      <c r="R3" s="239" t="str">
        <f t="shared" si="1"/>
        <v>Thu</v>
      </c>
      <c r="S3" s="239" t="str">
        <f t="shared" si="1"/>
        <v>Fri</v>
      </c>
      <c r="T3" s="239" t="str">
        <f t="shared" si="1"/>
        <v>Sat</v>
      </c>
      <c r="U3" s="239" t="str">
        <f t="shared" si="1"/>
        <v>Sun</v>
      </c>
      <c r="V3" s="239" t="str">
        <f t="shared" si="1"/>
        <v>Mon</v>
      </c>
      <c r="W3" s="239" t="str">
        <f t="shared" si="1"/>
        <v>Tue</v>
      </c>
      <c r="X3" s="239" t="str">
        <f t="shared" si="1"/>
        <v>Wed</v>
      </c>
      <c r="Y3" s="239" t="str">
        <f t="shared" si="1"/>
        <v>Thu</v>
      </c>
      <c r="Z3" s="239" t="str">
        <f t="shared" si="1"/>
        <v>Fri</v>
      </c>
      <c r="AA3" s="239" t="str">
        <f t="shared" si="1"/>
        <v>Sat</v>
      </c>
      <c r="AB3" s="239" t="str">
        <f t="shared" si="1"/>
        <v>Sun</v>
      </c>
      <c r="AC3" s="239" t="str">
        <f t="shared" si="1"/>
        <v>Mon</v>
      </c>
      <c r="AD3" s="239" t="str">
        <f t="shared" si="1"/>
        <v>Tue</v>
      </c>
      <c r="AE3" s="239" t="str">
        <f t="shared" si="1"/>
        <v>Wed</v>
      </c>
      <c r="AF3" s="239" t="str">
        <f t="shared" si="1"/>
        <v>Thu</v>
      </c>
      <c r="AG3" s="239" t="str">
        <f t="shared" si="1"/>
        <v>Fri</v>
      </c>
      <c r="AH3" s="239" t="str">
        <f t="shared" si="1"/>
        <v>Sat</v>
      </c>
      <c r="AI3" s="282"/>
      <c r="AJ3" s="282"/>
      <c r="AK3" s="282"/>
      <c r="AL3" s="282"/>
      <c r="AM3" s="282"/>
      <c r="AN3" s="282"/>
    </row>
    <row r="4" spans="1:40" ht="15.75">
      <c r="A4" s="240">
        <v>1</v>
      </c>
      <c r="B4" s="241" t="s">
        <v>118</v>
      </c>
      <c r="C4" s="242" t="s">
        <v>119</v>
      </c>
      <c r="D4" s="205" t="s">
        <v>120</v>
      </c>
      <c r="E4" s="243" t="s">
        <v>121</v>
      </c>
      <c r="F4" s="244">
        <v>45887</v>
      </c>
      <c r="G4" s="245" t="s">
        <v>122</v>
      </c>
      <c r="H4" s="245" t="s">
        <v>122</v>
      </c>
      <c r="I4" s="245" t="s">
        <v>122</v>
      </c>
      <c r="J4" s="245" t="s">
        <v>122</v>
      </c>
      <c r="K4" s="247" t="s">
        <v>123</v>
      </c>
      <c r="L4" s="245" t="s">
        <v>122</v>
      </c>
      <c r="M4" s="248" t="s">
        <v>124</v>
      </c>
      <c r="N4" s="248" t="s">
        <v>124</v>
      </c>
      <c r="O4" s="248" t="s">
        <v>124</v>
      </c>
      <c r="P4" s="248" t="s">
        <v>124</v>
      </c>
      <c r="Q4" s="248" t="s">
        <v>124</v>
      </c>
      <c r="R4" s="248" t="s">
        <v>124</v>
      </c>
      <c r="S4" s="248" t="s">
        <v>124</v>
      </c>
      <c r="T4" s="248" t="s">
        <v>124</v>
      </c>
      <c r="U4" s="250" t="s">
        <v>124</v>
      </c>
      <c r="V4" s="250" t="s">
        <v>124</v>
      </c>
      <c r="W4" s="250" t="s">
        <v>124</v>
      </c>
      <c r="X4" s="250" t="s">
        <v>124</v>
      </c>
      <c r="Y4" s="250" t="s">
        <v>124</v>
      </c>
      <c r="Z4" s="250" t="s">
        <v>124</v>
      </c>
      <c r="AA4" s="250" t="s">
        <v>124</v>
      </c>
      <c r="AB4" s="250" t="s">
        <v>124</v>
      </c>
      <c r="AC4" s="250" t="s">
        <v>124</v>
      </c>
      <c r="AD4" s="250" t="s">
        <v>124</v>
      </c>
      <c r="AE4" s="250" t="s">
        <v>124</v>
      </c>
      <c r="AF4" s="250" t="s">
        <v>124</v>
      </c>
      <c r="AG4" s="250" t="s">
        <v>124</v>
      </c>
      <c r="AH4" s="250" t="s">
        <v>124</v>
      </c>
      <c r="AI4" s="252">
        <f>COUNTIF(G4:AH4,"P")+COUNTIF(G4:AH4,"PPH")</f>
        <v>5</v>
      </c>
      <c r="AJ4" s="252">
        <f>COUNTIF(G4:AH4,"A")</f>
        <v>0</v>
      </c>
      <c r="AK4" s="252">
        <f>COUNTIF(G4:AH4,"W/O")</f>
        <v>1</v>
      </c>
      <c r="AL4" s="252">
        <f t="shared" ref="AL4:AL18" si="2">+AI4+AK4</f>
        <v>6</v>
      </c>
      <c r="AM4" s="252">
        <f>COUNTIF(G4:AH4,"PPH")+COUNTIF(G4:AH4,"PH")</f>
        <v>0</v>
      </c>
      <c r="AN4" s="252">
        <f>AI4+AM4</f>
        <v>5</v>
      </c>
    </row>
    <row r="5" spans="1:40" ht="15.75">
      <c r="A5" s="240">
        <v>2</v>
      </c>
      <c r="B5" s="241" t="s">
        <v>125</v>
      </c>
      <c r="C5" s="246" t="s">
        <v>126</v>
      </c>
      <c r="D5" s="205" t="s">
        <v>120</v>
      </c>
      <c r="E5" s="243" t="s">
        <v>121</v>
      </c>
      <c r="F5" s="244">
        <v>45887</v>
      </c>
      <c r="G5" s="245" t="s">
        <v>122</v>
      </c>
      <c r="H5" s="247" t="s">
        <v>123</v>
      </c>
      <c r="I5" s="245" t="s">
        <v>122</v>
      </c>
      <c r="J5" s="245" t="s">
        <v>122</v>
      </c>
      <c r="K5" s="245" t="s">
        <v>122</v>
      </c>
      <c r="L5" s="245" t="s">
        <v>122</v>
      </c>
      <c r="M5" s="245" t="s">
        <v>122</v>
      </c>
      <c r="N5" s="245" t="s">
        <v>122</v>
      </c>
      <c r="O5" s="245" t="s">
        <v>122</v>
      </c>
      <c r="P5" s="245" t="s">
        <v>122</v>
      </c>
      <c r="Q5" s="245" t="s">
        <v>122</v>
      </c>
      <c r="R5" s="245" t="s">
        <v>122</v>
      </c>
      <c r="S5" s="245" t="s">
        <v>122</v>
      </c>
      <c r="T5" s="245" t="s">
        <v>122</v>
      </c>
      <c r="U5" s="251" t="s">
        <v>122</v>
      </c>
      <c r="V5" s="251" t="s">
        <v>127</v>
      </c>
      <c r="W5" s="251" t="s">
        <v>122</v>
      </c>
      <c r="X5" s="251" t="s">
        <v>122</v>
      </c>
      <c r="Y5" s="251" t="s">
        <v>122</v>
      </c>
      <c r="Z5" s="251" t="s">
        <v>122</v>
      </c>
      <c r="AA5" s="250" t="s">
        <v>124</v>
      </c>
      <c r="AB5" s="250" t="s">
        <v>124</v>
      </c>
      <c r="AC5" s="250" t="s">
        <v>124</v>
      </c>
      <c r="AD5" s="250" t="s">
        <v>124</v>
      </c>
      <c r="AE5" s="250" t="s">
        <v>124</v>
      </c>
      <c r="AF5" s="250" t="s">
        <v>124</v>
      </c>
      <c r="AG5" s="250" t="s">
        <v>124</v>
      </c>
      <c r="AH5" s="250" t="s">
        <v>124</v>
      </c>
      <c r="AI5" s="252">
        <f t="shared" ref="AI5:AI18" si="3">COUNTIF(G5:AH5,"P")+COUNTIF(G5:AH5,"PPH")</f>
        <v>19</v>
      </c>
      <c r="AJ5" s="252">
        <f t="shared" ref="AJ5:AJ18" si="4">COUNTIF(G5:AH5,"A")</f>
        <v>0</v>
      </c>
      <c r="AK5" s="252">
        <f t="shared" ref="AK5:AK18" si="5">COUNTIF(G5:AH5,"W/O")</f>
        <v>1</v>
      </c>
      <c r="AL5" s="252">
        <f t="shared" si="2"/>
        <v>20</v>
      </c>
      <c r="AM5" s="252">
        <f t="shared" ref="AM5:AM18" si="6">COUNTIF(G5:AH5,"PPH")+COUNTIF(G5:AH5,"PH")</f>
        <v>1</v>
      </c>
      <c r="AN5" s="252">
        <f t="shared" ref="AN5:AN18" si="7">AI5+AM5</f>
        <v>20</v>
      </c>
    </row>
    <row r="6" spans="1:40" ht="15.75">
      <c r="A6" s="240">
        <v>3</v>
      </c>
      <c r="B6" s="241" t="s">
        <v>128</v>
      </c>
      <c r="C6" s="242" t="s">
        <v>129</v>
      </c>
      <c r="D6" s="205" t="s">
        <v>130</v>
      </c>
      <c r="E6" s="243" t="s">
        <v>121</v>
      </c>
      <c r="F6" s="244" t="s">
        <v>131</v>
      </c>
      <c r="G6" s="245" t="s">
        <v>122</v>
      </c>
      <c r="H6" s="245" t="s">
        <v>122</v>
      </c>
      <c r="I6" s="245" t="s">
        <v>122</v>
      </c>
      <c r="J6" s="247" t="s">
        <v>123</v>
      </c>
      <c r="K6" s="245" t="s">
        <v>122</v>
      </c>
      <c r="L6" s="245" t="s">
        <v>122</v>
      </c>
      <c r="M6" s="245" t="s">
        <v>122</v>
      </c>
      <c r="N6" s="245" t="s">
        <v>122</v>
      </c>
      <c r="O6" s="245" t="s">
        <v>122</v>
      </c>
      <c r="P6" s="245" t="s">
        <v>122</v>
      </c>
      <c r="Q6" s="245" t="s">
        <v>122</v>
      </c>
      <c r="R6" s="245" t="s">
        <v>122</v>
      </c>
      <c r="S6" s="245" t="s">
        <v>122</v>
      </c>
      <c r="T6" s="245" t="s">
        <v>122</v>
      </c>
      <c r="U6" s="251" t="s">
        <v>122</v>
      </c>
      <c r="V6" s="251" t="s">
        <v>127</v>
      </c>
      <c r="W6" s="251" t="s">
        <v>122</v>
      </c>
      <c r="X6" s="251" t="s">
        <v>122</v>
      </c>
      <c r="Y6" s="251" t="s">
        <v>122</v>
      </c>
      <c r="Z6" s="251" t="s">
        <v>122</v>
      </c>
      <c r="AA6" s="251" t="s">
        <v>122</v>
      </c>
      <c r="AB6" s="251" t="s">
        <v>122</v>
      </c>
      <c r="AC6" s="251" t="s">
        <v>122</v>
      </c>
      <c r="AD6" s="251" t="s">
        <v>122</v>
      </c>
      <c r="AE6" s="251" t="s">
        <v>122</v>
      </c>
      <c r="AF6" s="251" t="s">
        <v>122</v>
      </c>
      <c r="AG6" s="247" t="s">
        <v>123</v>
      </c>
      <c r="AH6" s="251" t="s">
        <v>122</v>
      </c>
      <c r="AI6" s="252">
        <f t="shared" si="3"/>
        <v>26</v>
      </c>
      <c r="AJ6" s="252">
        <f t="shared" si="4"/>
        <v>0</v>
      </c>
      <c r="AK6" s="252">
        <f t="shared" si="5"/>
        <v>2</v>
      </c>
      <c r="AL6" s="252">
        <f t="shared" si="2"/>
        <v>28</v>
      </c>
      <c r="AM6" s="252">
        <f t="shared" si="6"/>
        <v>1</v>
      </c>
      <c r="AN6" s="252">
        <f t="shared" si="7"/>
        <v>27</v>
      </c>
    </row>
    <row r="7" spans="1:40" ht="15.75">
      <c r="A7" s="240">
        <v>4</v>
      </c>
      <c r="B7" s="241" t="s">
        <v>132</v>
      </c>
      <c r="C7" s="242" t="s">
        <v>133</v>
      </c>
      <c r="D7" s="205" t="s">
        <v>120</v>
      </c>
      <c r="E7" s="243" t="s">
        <v>121</v>
      </c>
      <c r="F7" s="244" t="s">
        <v>134</v>
      </c>
      <c r="G7" s="245" t="s">
        <v>122</v>
      </c>
      <c r="H7" s="245" t="s">
        <v>122</v>
      </c>
      <c r="I7" s="245" t="s">
        <v>122</v>
      </c>
      <c r="J7" s="245" t="s">
        <v>122</v>
      </c>
      <c r="K7" s="247" t="s">
        <v>123</v>
      </c>
      <c r="L7" s="245" t="s">
        <v>122</v>
      </c>
      <c r="M7" s="245" t="s">
        <v>122</v>
      </c>
      <c r="N7" s="245" t="s">
        <v>122</v>
      </c>
      <c r="O7" s="245" t="s">
        <v>122</v>
      </c>
      <c r="P7" s="245" t="s">
        <v>122</v>
      </c>
      <c r="Q7" s="245" t="s">
        <v>122</v>
      </c>
      <c r="R7" s="245" t="s">
        <v>122</v>
      </c>
      <c r="S7" s="245" t="s">
        <v>122</v>
      </c>
      <c r="T7" s="245" t="s">
        <v>122</v>
      </c>
      <c r="U7" s="251" t="s">
        <v>122</v>
      </c>
      <c r="V7" s="251" t="s">
        <v>127</v>
      </c>
      <c r="W7" s="251" t="s">
        <v>122</v>
      </c>
      <c r="X7" s="251" t="s">
        <v>122</v>
      </c>
      <c r="Y7" s="247" t="s">
        <v>123</v>
      </c>
      <c r="Z7" s="251" t="s">
        <v>122</v>
      </c>
      <c r="AA7" s="251" t="s">
        <v>122</v>
      </c>
      <c r="AB7" s="251" t="s">
        <v>122</v>
      </c>
      <c r="AC7" s="251" t="s">
        <v>122</v>
      </c>
      <c r="AD7" s="251" t="s">
        <v>122</v>
      </c>
      <c r="AE7" s="251" t="s">
        <v>122</v>
      </c>
      <c r="AF7" s="251" t="s">
        <v>122</v>
      </c>
      <c r="AG7" s="251" t="s">
        <v>122</v>
      </c>
      <c r="AH7" s="251" t="s">
        <v>122</v>
      </c>
      <c r="AI7" s="252">
        <f t="shared" si="3"/>
        <v>26</v>
      </c>
      <c r="AJ7" s="252">
        <f t="shared" si="4"/>
        <v>0</v>
      </c>
      <c r="AK7" s="252">
        <f t="shared" si="5"/>
        <v>2</v>
      </c>
      <c r="AL7" s="252">
        <f t="shared" si="2"/>
        <v>28</v>
      </c>
      <c r="AM7" s="252">
        <f t="shared" si="6"/>
        <v>1</v>
      </c>
      <c r="AN7" s="252">
        <f t="shared" si="7"/>
        <v>27</v>
      </c>
    </row>
    <row r="8" spans="1:40" ht="15.75">
      <c r="A8" s="240">
        <v>5</v>
      </c>
      <c r="B8" s="241" t="s">
        <v>135</v>
      </c>
      <c r="C8" s="242" t="s">
        <v>136</v>
      </c>
      <c r="D8" s="205" t="s">
        <v>120</v>
      </c>
      <c r="E8" s="243" t="s">
        <v>121</v>
      </c>
      <c r="F8" s="244">
        <v>45887</v>
      </c>
      <c r="G8" s="245" t="s">
        <v>122</v>
      </c>
      <c r="H8" s="245" t="s">
        <v>122</v>
      </c>
      <c r="I8" s="245" t="s">
        <v>122</v>
      </c>
      <c r="J8" s="245" t="s">
        <v>122</v>
      </c>
      <c r="K8" s="245" t="s">
        <v>122</v>
      </c>
      <c r="L8" s="245" t="s">
        <v>122</v>
      </c>
      <c r="M8" s="245" t="s">
        <v>122</v>
      </c>
      <c r="N8" s="247" t="s">
        <v>123</v>
      </c>
      <c r="O8" s="245" t="s">
        <v>122</v>
      </c>
      <c r="P8" s="245" t="s">
        <v>122</v>
      </c>
      <c r="Q8" s="247" t="s">
        <v>123</v>
      </c>
      <c r="R8" s="245" t="s">
        <v>122</v>
      </c>
      <c r="S8" s="245" t="s">
        <v>122</v>
      </c>
      <c r="T8" s="245" t="s">
        <v>122</v>
      </c>
      <c r="U8" s="251" t="s">
        <v>122</v>
      </c>
      <c r="V8" s="251" t="s">
        <v>127</v>
      </c>
      <c r="W8" s="251" t="s">
        <v>122</v>
      </c>
      <c r="X8" s="251" t="s">
        <v>122</v>
      </c>
      <c r="Y8" s="251" t="s">
        <v>122</v>
      </c>
      <c r="Z8" s="251" t="s">
        <v>122</v>
      </c>
      <c r="AA8" s="251" t="s">
        <v>122</v>
      </c>
      <c r="AB8" s="251" t="s">
        <v>122</v>
      </c>
      <c r="AC8" s="251" t="s">
        <v>122</v>
      </c>
      <c r="AD8" s="251" t="s">
        <v>122</v>
      </c>
      <c r="AE8" s="251" t="s">
        <v>122</v>
      </c>
      <c r="AF8" s="251" t="s">
        <v>122</v>
      </c>
      <c r="AG8" s="247" t="s">
        <v>123</v>
      </c>
      <c r="AH8" s="251" t="s">
        <v>122</v>
      </c>
      <c r="AI8" s="252">
        <f t="shared" si="3"/>
        <v>25</v>
      </c>
      <c r="AJ8" s="252">
        <f t="shared" si="4"/>
        <v>0</v>
      </c>
      <c r="AK8" s="252">
        <f t="shared" si="5"/>
        <v>3</v>
      </c>
      <c r="AL8" s="252">
        <f t="shared" si="2"/>
        <v>28</v>
      </c>
      <c r="AM8" s="252">
        <f t="shared" si="6"/>
        <v>1</v>
      </c>
      <c r="AN8" s="252">
        <f t="shared" si="7"/>
        <v>26</v>
      </c>
    </row>
    <row r="9" spans="1:40" ht="15.75">
      <c r="A9" s="240">
        <v>6</v>
      </c>
      <c r="B9" s="241" t="s">
        <v>137</v>
      </c>
      <c r="C9" s="246" t="s">
        <v>138</v>
      </c>
      <c r="D9" s="205" t="s">
        <v>120</v>
      </c>
      <c r="E9" s="243" t="s">
        <v>121</v>
      </c>
      <c r="F9" s="244" t="s">
        <v>139</v>
      </c>
      <c r="G9" s="245" t="s">
        <v>122</v>
      </c>
      <c r="H9" s="245" t="s">
        <v>122</v>
      </c>
      <c r="I9" s="245" t="s">
        <v>122</v>
      </c>
      <c r="J9" s="247" t="s">
        <v>123</v>
      </c>
      <c r="K9" s="245" t="s">
        <v>122</v>
      </c>
      <c r="L9" s="245" t="s">
        <v>122</v>
      </c>
      <c r="M9" s="245" t="s">
        <v>122</v>
      </c>
      <c r="N9" s="245" t="s">
        <v>122</v>
      </c>
      <c r="O9" s="245" t="s">
        <v>122</v>
      </c>
      <c r="P9" s="245" t="s">
        <v>122</v>
      </c>
      <c r="Q9" s="245" t="s">
        <v>122</v>
      </c>
      <c r="R9" s="245" t="s">
        <v>122</v>
      </c>
      <c r="S9" s="245" t="s">
        <v>122</v>
      </c>
      <c r="T9" s="245" t="s">
        <v>122</v>
      </c>
      <c r="U9" s="251" t="s">
        <v>122</v>
      </c>
      <c r="V9" s="251" t="s">
        <v>127</v>
      </c>
      <c r="W9" s="251" t="s">
        <v>122</v>
      </c>
      <c r="X9" s="251" t="s">
        <v>122</v>
      </c>
      <c r="Y9" s="251" t="s">
        <v>122</v>
      </c>
      <c r="Z9" s="251" t="s">
        <v>122</v>
      </c>
      <c r="AA9" s="251" t="s">
        <v>122</v>
      </c>
      <c r="AB9" s="251" t="s">
        <v>122</v>
      </c>
      <c r="AC9" s="247" t="s">
        <v>123</v>
      </c>
      <c r="AD9" s="251" t="s">
        <v>122</v>
      </c>
      <c r="AE9" s="251" t="s">
        <v>122</v>
      </c>
      <c r="AF9" s="251" t="s">
        <v>122</v>
      </c>
      <c r="AG9" s="251" t="s">
        <v>122</v>
      </c>
      <c r="AH9" s="251" t="s">
        <v>122</v>
      </c>
      <c r="AI9" s="252">
        <f t="shared" si="3"/>
        <v>26</v>
      </c>
      <c r="AJ9" s="252">
        <f t="shared" si="4"/>
        <v>0</v>
      </c>
      <c r="AK9" s="252">
        <f t="shared" si="5"/>
        <v>2</v>
      </c>
      <c r="AL9" s="252">
        <f t="shared" si="2"/>
        <v>28</v>
      </c>
      <c r="AM9" s="252">
        <f t="shared" si="6"/>
        <v>1</v>
      </c>
      <c r="AN9" s="252">
        <f t="shared" si="7"/>
        <v>27</v>
      </c>
    </row>
    <row r="10" spans="1:40" ht="15.75">
      <c r="A10" s="240">
        <v>7</v>
      </c>
      <c r="B10" s="241" t="s">
        <v>140</v>
      </c>
      <c r="C10" s="246" t="s">
        <v>141</v>
      </c>
      <c r="D10" s="205" t="s">
        <v>120</v>
      </c>
      <c r="E10" s="243" t="s">
        <v>121</v>
      </c>
      <c r="F10" s="244">
        <v>45887</v>
      </c>
      <c r="G10" s="245" t="s">
        <v>122</v>
      </c>
      <c r="H10" s="245" t="s">
        <v>122</v>
      </c>
      <c r="I10" s="245" t="s">
        <v>122</v>
      </c>
      <c r="J10" s="245" t="s">
        <v>122</v>
      </c>
      <c r="K10" s="245" t="s">
        <v>122</v>
      </c>
      <c r="L10" s="245" t="s">
        <v>122</v>
      </c>
      <c r="M10" s="245" t="s">
        <v>122</v>
      </c>
      <c r="N10" s="245" t="s">
        <v>122</v>
      </c>
      <c r="O10" s="245" t="s">
        <v>122</v>
      </c>
      <c r="P10" s="245" t="s">
        <v>122</v>
      </c>
      <c r="Q10" s="245" t="s">
        <v>122</v>
      </c>
      <c r="R10" s="245" t="s">
        <v>122</v>
      </c>
      <c r="S10" s="245" t="s">
        <v>122</v>
      </c>
      <c r="T10" s="247" t="s">
        <v>123</v>
      </c>
      <c r="U10" s="251" t="s">
        <v>122</v>
      </c>
      <c r="V10" s="251" t="s">
        <v>127</v>
      </c>
      <c r="W10" s="251" t="s">
        <v>122</v>
      </c>
      <c r="X10" s="251" t="s">
        <v>122</v>
      </c>
      <c r="Y10" s="251" t="s">
        <v>122</v>
      </c>
      <c r="Z10" s="251" t="s">
        <v>122</v>
      </c>
      <c r="AA10" s="251" t="s">
        <v>122</v>
      </c>
      <c r="AB10" s="251" t="s">
        <v>122</v>
      </c>
      <c r="AC10" s="251" t="s">
        <v>122</v>
      </c>
      <c r="AD10" s="251" t="s">
        <v>122</v>
      </c>
      <c r="AE10" s="251" t="s">
        <v>122</v>
      </c>
      <c r="AF10" s="247" t="s">
        <v>123</v>
      </c>
      <c r="AG10" s="251" t="s">
        <v>122</v>
      </c>
      <c r="AH10" s="251" t="s">
        <v>122</v>
      </c>
      <c r="AI10" s="252">
        <f t="shared" si="3"/>
        <v>26</v>
      </c>
      <c r="AJ10" s="252">
        <f t="shared" si="4"/>
        <v>0</v>
      </c>
      <c r="AK10" s="252">
        <f t="shared" si="5"/>
        <v>2</v>
      </c>
      <c r="AL10" s="252">
        <f t="shared" si="2"/>
        <v>28</v>
      </c>
      <c r="AM10" s="252">
        <f t="shared" si="6"/>
        <v>1</v>
      </c>
      <c r="AN10" s="252">
        <f t="shared" si="7"/>
        <v>27</v>
      </c>
    </row>
    <row r="11" spans="1:40" ht="15.75">
      <c r="A11" s="240">
        <v>8</v>
      </c>
      <c r="B11" s="241" t="s">
        <v>142</v>
      </c>
      <c r="C11" s="242" t="s">
        <v>143</v>
      </c>
      <c r="D11" s="205" t="s">
        <v>120</v>
      </c>
      <c r="E11" s="243" t="s">
        <v>121</v>
      </c>
      <c r="F11" s="244" t="s">
        <v>144</v>
      </c>
      <c r="G11" s="245" t="s">
        <v>122</v>
      </c>
      <c r="H11" s="245" t="s">
        <v>122</v>
      </c>
      <c r="I11" s="247" t="s">
        <v>123</v>
      </c>
      <c r="J11" s="245" t="s">
        <v>122</v>
      </c>
      <c r="K11" s="245" t="s">
        <v>122</v>
      </c>
      <c r="L11" s="245" t="s">
        <v>122</v>
      </c>
      <c r="M11" s="245" t="s">
        <v>122</v>
      </c>
      <c r="N11" s="245" t="s">
        <v>122</v>
      </c>
      <c r="O11" s="245" t="s">
        <v>122</v>
      </c>
      <c r="P11" s="245" t="s">
        <v>122</v>
      </c>
      <c r="Q11" s="245" t="s">
        <v>122</v>
      </c>
      <c r="R11" s="245" t="s">
        <v>122</v>
      </c>
      <c r="S11" s="245" t="s">
        <v>122</v>
      </c>
      <c r="T11" s="245" t="s">
        <v>122</v>
      </c>
      <c r="U11" s="251" t="s">
        <v>122</v>
      </c>
      <c r="V11" s="251" t="s">
        <v>127</v>
      </c>
      <c r="W11" s="251" t="s">
        <v>122</v>
      </c>
      <c r="X11" s="251" t="s">
        <v>122</v>
      </c>
      <c r="Y11" s="251" t="s">
        <v>122</v>
      </c>
      <c r="Z11" s="251" t="s">
        <v>122</v>
      </c>
      <c r="AA11" s="250" t="s">
        <v>124</v>
      </c>
      <c r="AB11" s="250" t="s">
        <v>124</v>
      </c>
      <c r="AC11" s="250" t="s">
        <v>124</v>
      </c>
      <c r="AD11" s="250" t="s">
        <v>124</v>
      </c>
      <c r="AE11" s="250" t="s">
        <v>124</v>
      </c>
      <c r="AF11" s="250" t="s">
        <v>124</v>
      </c>
      <c r="AG11" s="250" t="s">
        <v>124</v>
      </c>
      <c r="AH11" s="250" t="s">
        <v>124</v>
      </c>
      <c r="AI11" s="252">
        <f t="shared" si="3"/>
        <v>19</v>
      </c>
      <c r="AJ11" s="252">
        <f t="shared" si="4"/>
        <v>0</v>
      </c>
      <c r="AK11" s="252">
        <f t="shared" si="5"/>
        <v>1</v>
      </c>
      <c r="AL11" s="252">
        <f t="shared" si="2"/>
        <v>20</v>
      </c>
      <c r="AM11" s="252">
        <f t="shared" si="6"/>
        <v>1</v>
      </c>
      <c r="AN11" s="252">
        <f t="shared" si="7"/>
        <v>20</v>
      </c>
    </row>
    <row r="12" spans="1:40" ht="15.75">
      <c r="A12" s="240">
        <v>9</v>
      </c>
      <c r="B12" s="241" t="s">
        <v>145</v>
      </c>
      <c r="C12" s="242" t="s">
        <v>146</v>
      </c>
      <c r="D12" s="205" t="s">
        <v>120</v>
      </c>
      <c r="E12" s="243" t="s">
        <v>121</v>
      </c>
      <c r="F12" s="244" t="s">
        <v>147</v>
      </c>
      <c r="G12" s="245" t="s">
        <v>122</v>
      </c>
      <c r="H12" s="245" t="s">
        <v>122</v>
      </c>
      <c r="I12" s="245" t="s">
        <v>122</v>
      </c>
      <c r="J12" s="245" t="s">
        <v>122</v>
      </c>
      <c r="K12" s="245" t="s">
        <v>122</v>
      </c>
      <c r="L12" s="247" t="s">
        <v>123</v>
      </c>
      <c r="M12" s="245" t="s">
        <v>122</v>
      </c>
      <c r="N12" s="245" t="s">
        <v>122</v>
      </c>
      <c r="O12" s="245" t="s">
        <v>122</v>
      </c>
      <c r="P12" s="245" t="s">
        <v>122</v>
      </c>
      <c r="Q12" s="245" t="s">
        <v>122</v>
      </c>
      <c r="R12" s="245" t="s">
        <v>122</v>
      </c>
      <c r="S12" s="245" t="s">
        <v>122</v>
      </c>
      <c r="T12" s="245" t="s">
        <v>122</v>
      </c>
      <c r="U12" s="251" t="s">
        <v>122</v>
      </c>
      <c r="V12" s="251" t="s">
        <v>127</v>
      </c>
      <c r="W12" s="251" t="s">
        <v>122</v>
      </c>
      <c r="X12" s="251" t="s">
        <v>122</v>
      </c>
      <c r="Y12" s="251" t="s">
        <v>122</v>
      </c>
      <c r="Z12" s="251" t="s">
        <v>122</v>
      </c>
      <c r="AA12" s="251" t="s">
        <v>122</v>
      </c>
      <c r="AB12" s="251" t="s">
        <v>122</v>
      </c>
      <c r="AC12" s="251" t="s">
        <v>122</v>
      </c>
      <c r="AD12" s="251" t="s">
        <v>122</v>
      </c>
      <c r="AE12" s="251" t="s">
        <v>122</v>
      </c>
      <c r="AF12" s="251" t="s">
        <v>122</v>
      </c>
      <c r="AG12" s="251" t="s">
        <v>122</v>
      </c>
      <c r="AH12" s="251" t="s">
        <v>122</v>
      </c>
      <c r="AI12" s="252">
        <f t="shared" si="3"/>
        <v>27</v>
      </c>
      <c r="AJ12" s="252">
        <f t="shared" si="4"/>
        <v>0</v>
      </c>
      <c r="AK12" s="252">
        <f t="shared" si="5"/>
        <v>1</v>
      </c>
      <c r="AL12" s="252">
        <f t="shared" si="2"/>
        <v>28</v>
      </c>
      <c r="AM12" s="252">
        <f t="shared" si="6"/>
        <v>1</v>
      </c>
      <c r="AN12" s="252">
        <f t="shared" si="7"/>
        <v>28</v>
      </c>
    </row>
    <row r="13" spans="1:40" ht="15.75">
      <c r="A13" s="240">
        <v>10</v>
      </c>
      <c r="B13" s="241" t="s">
        <v>148</v>
      </c>
      <c r="C13" s="246" t="s">
        <v>149</v>
      </c>
      <c r="D13" s="205" t="s">
        <v>130</v>
      </c>
      <c r="E13" s="243" t="s">
        <v>121</v>
      </c>
      <c r="F13" s="244" t="s">
        <v>150</v>
      </c>
      <c r="G13" s="245" t="s">
        <v>122</v>
      </c>
      <c r="H13" s="245" t="s">
        <v>122</v>
      </c>
      <c r="I13" s="245" t="s">
        <v>122</v>
      </c>
      <c r="J13" s="245" t="s">
        <v>122</v>
      </c>
      <c r="K13" s="245" t="s">
        <v>122</v>
      </c>
      <c r="L13" s="247" t="s">
        <v>123</v>
      </c>
      <c r="M13" s="245" t="s">
        <v>122</v>
      </c>
      <c r="N13" s="245" t="s">
        <v>122</v>
      </c>
      <c r="O13" s="245" t="s">
        <v>122</v>
      </c>
      <c r="P13" s="245" t="s">
        <v>122</v>
      </c>
      <c r="Q13" s="247" t="s">
        <v>123</v>
      </c>
      <c r="R13" s="245" t="s">
        <v>122</v>
      </c>
      <c r="S13" s="245" t="s">
        <v>122</v>
      </c>
      <c r="T13" s="245" t="s">
        <v>122</v>
      </c>
      <c r="U13" s="251" t="s">
        <v>122</v>
      </c>
      <c r="V13" s="251" t="s">
        <v>127</v>
      </c>
      <c r="W13" s="247" t="s">
        <v>123</v>
      </c>
      <c r="X13" s="251" t="s">
        <v>122</v>
      </c>
      <c r="Y13" s="251" t="s">
        <v>122</v>
      </c>
      <c r="Z13" s="251" t="s">
        <v>122</v>
      </c>
      <c r="AA13" s="251" t="s">
        <v>122</v>
      </c>
      <c r="AB13" s="251" t="s">
        <v>122</v>
      </c>
      <c r="AC13" s="251" t="s">
        <v>122</v>
      </c>
      <c r="AD13" s="251" t="s">
        <v>122</v>
      </c>
      <c r="AE13" s="247" t="s">
        <v>123</v>
      </c>
      <c r="AF13" s="251" t="s">
        <v>122</v>
      </c>
      <c r="AG13" s="251" t="s">
        <v>122</v>
      </c>
      <c r="AH13" s="251" t="s">
        <v>122</v>
      </c>
      <c r="AI13" s="252">
        <f t="shared" si="3"/>
        <v>24</v>
      </c>
      <c r="AJ13" s="252">
        <f t="shared" si="4"/>
        <v>0</v>
      </c>
      <c r="AK13" s="252">
        <f t="shared" si="5"/>
        <v>4</v>
      </c>
      <c r="AL13" s="252">
        <f t="shared" si="2"/>
        <v>28</v>
      </c>
      <c r="AM13" s="252">
        <f t="shared" si="6"/>
        <v>1</v>
      </c>
      <c r="AN13" s="252">
        <f t="shared" si="7"/>
        <v>25</v>
      </c>
    </row>
    <row r="14" spans="1:40" ht="15.75">
      <c r="A14" s="240">
        <v>11</v>
      </c>
      <c r="B14" s="241" t="s">
        <v>151</v>
      </c>
      <c r="C14" s="242" t="s">
        <v>152</v>
      </c>
      <c r="D14" s="205" t="s">
        <v>130</v>
      </c>
      <c r="E14" s="243" t="s">
        <v>121</v>
      </c>
      <c r="F14" s="244" t="s">
        <v>153</v>
      </c>
      <c r="G14" s="245" t="s">
        <v>122</v>
      </c>
      <c r="H14" s="245" t="s">
        <v>122</v>
      </c>
      <c r="I14" s="245" t="s">
        <v>122</v>
      </c>
      <c r="J14" s="245" t="s">
        <v>122</v>
      </c>
      <c r="K14" s="245" t="s">
        <v>122</v>
      </c>
      <c r="L14" s="245" t="s">
        <v>122</v>
      </c>
      <c r="M14" s="245" t="s">
        <v>122</v>
      </c>
      <c r="N14" s="245" t="s">
        <v>122</v>
      </c>
      <c r="O14" s="245" t="s">
        <v>122</v>
      </c>
      <c r="P14" s="245" t="s">
        <v>122</v>
      </c>
      <c r="Q14" s="245" t="s">
        <v>122</v>
      </c>
      <c r="R14" s="247" t="s">
        <v>123</v>
      </c>
      <c r="S14" s="245" t="s">
        <v>122</v>
      </c>
      <c r="T14" s="245" t="s">
        <v>122</v>
      </c>
      <c r="U14" s="251" t="s">
        <v>122</v>
      </c>
      <c r="V14" s="251" t="s">
        <v>127</v>
      </c>
      <c r="W14" s="251" t="s">
        <v>122</v>
      </c>
      <c r="X14" s="251" t="s">
        <v>122</v>
      </c>
      <c r="Y14" s="251" t="s">
        <v>122</v>
      </c>
      <c r="Z14" s="251" t="s">
        <v>122</v>
      </c>
      <c r="AA14" s="247" t="s">
        <v>123</v>
      </c>
      <c r="AB14" s="251" t="s">
        <v>122</v>
      </c>
      <c r="AC14" s="251" t="s">
        <v>122</v>
      </c>
      <c r="AD14" s="251" t="s">
        <v>122</v>
      </c>
      <c r="AE14" s="251" t="s">
        <v>122</v>
      </c>
      <c r="AF14" s="251" t="s">
        <v>122</v>
      </c>
      <c r="AG14" s="251" t="s">
        <v>122</v>
      </c>
      <c r="AH14" s="251" t="s">
        <v>122</v>
      </c>
      <c r="AI14" s="252">
        <f t="shared" si="3"/>
        <v>26</v>
      </c>
      <c r="AJ14" s="252">
        <f t="shared" si="4"/>
        <v>0</v>
      </c>
      <c r="AK14" s="252">
        <f t="shared" si="5"/>
        <v>2</v>
      </c>
      <c r="AL14" s="252">
        <f t="shared" si="2"/>
        <v>28</v>
      </c>
      <c r="AM14" s="252">
        <f t="shared" si="6"/>
        <v>1</v>
      </c>
      <c r="AN14" s="252">
        <f t="shared" si="7"/>
        <v>27</v>
      </c>
    </row>
    <row r="15" spans="1:40" ht="15.75">
      <c r="A15" s="240">
        <v>12</v>
      </c>
      <c r="B15" s="241" t="s">
        <v>154</v>
      </c>
      <c r="C15" s="246" t="s">
        <v>155</v>
      </c>
      <c r="D15" s="205" t="s">
        <v>130</v>
      </c>
      <c r="E15" s="243" t="s">
        <v>121</v>
      </c>
      <c r="F15" s="244">
        <v>45884</v>
      </c>
      <c r="G15" s="245" t="s">
        <v>122</v>
      </c>
      <c r="H15" s="245" t="s">
        <v>122</v>
      </c>
      <c r="I15" s="245" t="s">
        <v>122</v>
      </c>
      <c r="J15" s="247" t="s">
        <v>123</v>
      </c>
      <c r="K15" s="245" t="s">
        <v>122</v>
      </c>
      <c r="L15" s="245" t="s">
        <v>122</v>
      </c>
      <c r="M15" s="245" t="s">
        <v>122</v>
      </c>
      <c r="N15" s="245" t="s">
        <v>122</v>
      </c>
      <c r="O15" s="245" t="s">
        <v>122</v>
      </c>
      <c r="P15" s="245" t="s">
        <v>122</v>
      </c>
      <c r="Q15" s="245" t="s">
        <v>122</v>
      </c>
      <c r="R15" s="245" t="s">
        <v>122</v>
      </c>
      <c r="S15" s="245" t="s">
        <v>122</v>
      </c>
      <c r="T15" s="245" t="s">
        <v>122</v>
      </c>
      <c r="U15" s="251" t="s">
        <v>122</v>
      </c>
      <c r="V15" s="251" t="s">
        <v>127</v>
      </c>
      <c r="W15" s="251" t="s">
        <v>122</v>
      </c>
      <c r="X15" s="251" t="s">
        <v>122</v>
      </c>
      <c r="Y15" s="251" t="s">
        <v>122</v>
      </c>
      <c r="Z15" s="251" t="s">
        <v>122</v>
      </c>
      <c r="AA15" s="251" t="s">
        <v>122</v>
      </c>
      <c r="AB15" s="251" t="s">
        <v>122</v>
      </c>
      <c r="AC15" s="251" t="s">
        <v>122</v>
      </c>
      <c r="AD15" s="251" t="s">
        <v>122</v>
      </c>
      <c r="AE15" s="251" t="s">
        <v>122</v>
      </c>
      <c r="AF15" s="247" t="s">
        <v>123</v>
      </c>
      <c r="AG15" s="251" t="s">
        <v>122</v>
      </c>
      <c r="AH15" s="251" t="s">
        <v>122</v>
      </c>
      <c r="AI15" s="252">
        <f t="shared" si="3"/>
        <v>26</v>
      </c>
      <c r="AJ15" s="252">
        <f t="shared" si="4"/>
        <v>0</v>
      </c>
      <c r="AK15" s="252">
        <f t="shared" si="5"/>
        <v>2</v>
      </c>
      <c r="AL15" s="252">
        <f t="shared" si="2"/>
        <v>28</v>
      </c>
      <c r="AM15" s="252">
        <f t="shared" si="6"/>
        <v>1</v>
      </c>
      <c r="AN15" s="252">
        <f t="shared" si="7"/>
        <v>27</v>
      </c>
    </row>
    <row r="16" spans="1:40" ht="15.75">
      <c r="A16" s="240">
        <v>13</v>
      </c>
      <c r="B16" s="241" t="s">
        <v>156</v>
      </c>
      <c r="C16" s="242" t="s">
        <v>157</v>
      </c>
      <c r="D16" s="205" t="s">
        <v>130</v>
      </c>
      <c r="E16" s="243" t="s">
        <v>121</v>
      </c>
      <c r="F16" s="244" t="s">
        <v>158</v>
      </c>
      <c r="G16" s="247" t="s">
        <v>123</v>
      </c>
      <c r="H16" s="245" t="s">
        <v>122</v>
      </c>
      <c r="I16" s="245" t="s">
        <v>122</v>
      </c>
      <c r="J16" s="245" t="s">
        <v>122</v>
      </c>
      <c r="K16" s="245" t="s">
        <v>122</v>
      </c>
      <c r="L16" s="245" t="s">
        <v>122</v>
      </c>
      <c r="M16" s="245" t="s">
        <v>122</v>
      </c>
      <c r="N16" s="245" t="s">
        <v>122</v>
      </c>
      <c r="O16" s="247" t="s">
        <v>123</v>
      </c>
      <c r="P16" s="245" t="s">
        <v>122</v>
      </c>
      <c r="Q16" s="245" t="s">
        <v>122</v>
      </c>
      <c r="R16" s="245" t="s">
        <v>122</v>
      </c>
      <c r="S16" s="245" t="s">
        <v>122</v>
      </c>
      <c r="T16" s="245" t="s">
        <v>122</v>
      </c>
      <c r="U16" s="251" t="s">
        <v>122</v>
      </c>
      <c r="V16" s="251" t="s">
        <v>127</v>
      </c>
      <c r="W16" s="251" t="s">
        <v>122</v>
      </c>
      <c r="X16" s="251" t="s">
        <v>122</v>
      </c>
      <c r="Y16" s="251" t="s">
        <v>122</v>
      </c>
      <c r="Z16" s="251" t="s">
        <v>122</v>
      </c>
      <c r="AA16" s="247" t="s">
        <v>123</v>
      </c>
      <c r="AB16" s="251" t="s">
        <v>122</v>
      </c>
      <c r="AC16" s="251" t="s">
        <v>122</v>
      </c>
      <c r="AD16" s="251" t="s">
        <v>122</v>
      </c>
      <c r="AE16" s="251" t="s">
        <v>122</v>
      </c>
      <c r="AF16" s="251" t="s">
        <v>122</v>
      </c>
      <c r="AG16" s="251" t="s">
        <v>122</v>
      </c>
      <c r="AH16" s="251" t="s">
        <v>122</v>
      </c>
      <c r="AI16" s="252">
        <f t="shared" si="3"/>
        <v>25</v>
      </c>
      <c r="AJ16" s="252">
        <f t="shared" si="4"/>
        <v>0</v>
      </c>
      <c r="AK16" s="252">
        <f t="shared" si="5"/>
        <v>3</v>
      </c>
      <c r="AL16" s="252">
        <f t="shared" si="2"/>
        <v>28</v>
      </c>
      <c r="AM16" s="252">
        <f t="shared" si="6"/>
        <v>1</v>
      </c>
      <c r="AN16" s="252">
        <f t="shared" si="7"/>
        <v>26</v>
      </c>
    </row>
    <row r="17" spans="1:40" ht="15.75">
      <c r="A17" s="240">
        <v>14</v>
      </c>
      <c r="B17" s="241" t="s">
        <v>159</v>
      </c>
      <c r="C17" s="242" t="s">
        <v>160</v>
      </c>
      <c r="D17" s="205" t="s">
        <v>130</v>
      </c>
      <c r="E17" s="243" t="s">
        <v>121</v>
      </c>
      <c r="F17" s="244" t="s">
        <v>158</v>
      </c>
      <c r="G17" s="245" t="s">
        <v>122</v>
      </c>
      <c r="H17" s="245" t="s">
        <v>122</v>
      </c>
      <c r="I17" s="247" t="s">
        <v>123</v>
      </c>
      <c r="J17" s="245" t="s">
        <v>122</v>
      </c>
      <c r="K17" s="245" t="s">
        <v>122</v>
      </c>
      <c r="L17" s="245" t="s">
        <v>122</v>
      </c>
      <c r="M17" s="245" t="s">
        <v>122</v>
      </c>
      <c r="N17" s="245" t="s">
        <v>122</v>
      </c>
      <c r="O17" s="245" t="s">
        <v>122</v>
      </c>
      <c r="P17" s="247" t="s">
        <v>123</v>
      </c>
      <c r="Q17" s="245" t="s">
        <v>122</v>
      </c>
      <c r="R17" s="245" t="s">
        <v>122</v>
      </c>
      <c r="S17" s="245" t="s">
        <v>122</v>
      </c>
      <c r="T17" s="245" t="s">
        <v>122</v>
      </c>
      <c r="U17" s="245" t="s">
        <v>122</v>
      </c>
      <c r="V17" s="251" t="s">
        <v>127</v>
      </c>
      <c r="W17" s="251" t="s">
        <v>122</v>
      </c>
      <c r="X17" s="251" t="s">
        <v>122</v>
      </c>
      <c r="Y17" s="251" t="s">
        <v>122</v>
      </c>
      <c r="Z17" s="251" t="s">
        <v>122</v>
      </c>
      <c r="AA17" s="251" t="s">
        <v>122</v>
      </c>
      <c r="AB17" s="251" t="s">
        <v>122</v>
      </c>
      <c r="AC17" s="251" t="s">
        <v>122</v>
      </c>
      <c r="AD17" s="251" t="s">
        <v>122</v>
      </c>
      <c r="AE17" s="251" t="s">
        <v>122</v>
      </c>
      <c r="AF17" s="251" t="s">
        <v>122</v>
      </c>
      <c r="AG17" s="251" t="s">
        <v>122</v>
      </c>
      <c r="AH17" s="251" t="s">
        <v>122</v>
      </c>
      <c r="AI17" s="252">
        <f t="shared" si="3"/>
        <v>26</v>
      </c>
      <c r="AJ17" s="252">
        <f t="shared" si="4"/>
        <v>0</v>
      </c>
      <c r="AK17" s="252">
        <f t="shared" si="5"/>
        <v>2</v>
      </c>
      <c r="AL17" s="252">
        <f t="shared" si="2"/>
        <v>28</v>
      </c>
      <c r="AM17" s="252">
        <f t="shared" si="6"/>
        <v>1</v>
      </c>
      <c r="AN17" s="252">
        <f t="shared" si="7"/>
        <v>27</v>
      </c>
    </row>
    <row r="18" spans="1:40" ht="15.75">
      <c r="A18" s="240">
        <v>15</v>
      </c>
      <c r="B18" s="241" t="s">
        <v>161</v>
      </c>
      <c r="C18" s="242" t="s">
        <v>162</v>
      </c>
      <c r="D18" s="205" t="s">
        <v>120</v>
      </c>
      <c r="E18" s="243" t="s">
        <v>121</v>
      </c>
      <c r="F18" s="244">
        <v>45884</v>
      </c>
      <c r="G18" s="248" t="s">
        <v>124</v>
      </c>
      <c r="H18" s="248" t="s">
        <v>124</v>
      </c>
      <c r="I18" s="248" t="s">
        <v>124</v>
      </c>
      <c r="J18" s="248" t="s">
        <v>124</v>
      </c>
      <c r="K18" s="248" t="s">
        <v>124</v>
      </c>
      <c r="L18" s="248" t="s">
        <v>124</v>
      </c>
      <c r="M18" s="248" t="s">
        <v>124</v>
      </c>
      <c r="N18" s="248" t="s">
        <v>124</v>
      </c>
      <c r="O18" s="248" t="s">
        <v>124</v>
      </c>
      <c r="P18" s="248" t="s">
        <v>124</v>
      </c>
      <c r="Q18" s="248" t="s">
        <v>124</v>
      </c>
      <c r="R18" s="245" t="s">
        <v>122</v>
      </c>
      <c r="S18" s="245" t="s">
        <v>122</v>
      </c>
      <c r="T18" s="245" t="s">
        <v>122</v>
      </c>
      <c r="U18" s="251" t="s">
        <v>122</v>
      </c>
      <c r="V18" s="251" t="s">
        <v>127</v>
      </c>
      <c r="W18" s="251" t="s">
        <v>122</v>
      </c>
      <c r="X18" s="251" t="s">
        <v>122</v>
      </c>
      <c r="Y18" s="247" t="s">
        <v>123</v>
      </c>
      <c r="Z18" s="251" t="s">
        <v>122</v>
      </c>
      <c r="AA18" s="251" t="s">
        <v>122</v>
      </c>
      <c r="AB18" s="250" t="s">
        <v>124</v>
      </c>
      <c r="AC18" s="251" t="s">
        <v>122</v>
      </c>
      <c r="AD18" s="251" t="s">
        <v>122</v>
      </c>
      <c r="AE18" s="251" t="s">
        <v>122</v>
      </c>
      <c r="AF18" s="251" t="s">
        <v>122</v>
      </c>
      <c r="AG18" s="251" t="s">
        <v>122</v>
      </c>
      <c r="AH18" s="251" t="s">
        <v>122</v>
      </c>
      <c r="AI18" s="252">
        <f t="shared" si="3"/>
        <v>15</v>
      </c>
      <c r="AJ18" s="252">
        <f t="shared" si="4"/>
        <v>0</v>
      </c>
      <c r="AK18" s="252">
        <f t="shared" si="5"/>
        <v>1</v>
      </c>
      <c r="AL18" s="252">
        <f t="shared" si="2"/>
        <v>16</v>
      </c>
      <c r="AM18" s="252">
        <f t="shared" si="6"/>
        <v>1</v>
      </c>
      <c r="AN18" s="252">
        <f t="shared" si="7"/>
        <v>16</v>
      </c>
    </row>
    <row r="19" spans="1:40" ht="15.75">
      <c r="B19" s="249"/>
      <c r="AI19" s="253">
        <f>SUM(AI4:AI18)</f>
        <v>341</v>
      </c>
      <c r="AJ19" s="253">
        <f t="shared" ref="AJ19:AN19" si="8">SUM(AJ4:AJ18)</f>
        <v>0</v>
      </c>
      <c r="AK19" s="253">
        <f t="shared" si="8"/>
        <v>29</v>
      </c>
      <c r="AL19" s="253">
        <f t="shared" si="8"/>
        <v>370</v>
      </c>
      <c r="AM19" s="253">
        <f t="shared" si="8"/>
        <v>14</v>
      </c>
      <c r="AN19" s="253">
        <f t="shared" si="8"/>
        <v>355</v>
      </c>
    </row>
  </sheetData>
  <mergeCells count="12">
    <mergeCell ref="AM2:AM3"/>
    <mergeCell ref="AN2:AN3"/>
    <mergeCell ref="F2:F3"/>
    <mergeCell ref="AI2:AI3"/>
    <mergeCell ref="AJ2:AJ3"/>
    <mergeCell ref="AK2:AK3"/>
    <mergeCell ref="AL2:AL3"/>
    <mergeCell ref="A2:A3"/>
    <mergeCell ref="B2:B3"/>
    <mergeCell ref="C2:C3"/>
    <mergeCell ref="D2:D3"/>
    <mergeCell ref="E2:E3"/>
  </mergeCells>
  <conditionalFormatting sqref="B4:B18">
    <cfRule type="duplicateValues" dxfId="99" priority="384"/>
  </conditionalFormatting>
  <conditionalFormatting sqref="B19">
    <cfRule type="duplicateValues" dxfId="98" priority="13"/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Y30"/>
  <sheetViews>
    <sheetView showGridLines="0" tabSelected="1" topLeftCell="E4" zoomScaleNormal="100" workbookViewId="0">
      <selection activeCell="AL8" sqref="AL8"/>
    </sheetView>
  </sheetViews>
  <sheetFormatPr defaultColWidth="9" defaultRowHeight="15"/>
  <cols>
    <col min="1" max="1" width="6.5703125" style="189" customWidth="1"/>
    <col min="2" max="2" width="17.7109375" customWidth="1"/>
    <col min="3" max="3" width="19.85546875" style="189" customWidth="1"/>
    <col min="4" max="4" width="26.7109375" customWidth="1"/>
    <col min="5" max="5" width="35.5703125" customWidth="1"/>
    <col min="6" max="6" width="11.140625" customWidth="1"/>
    <col min="7" max="7" width="17" style="189" customWidth="1"/>
    <col min="8" max="8" width="17.140625" style="189" customWidth="1"/>
    <col min="9" max="9" width="15" customWidth="1"/>
    <col min="10" max="10" width="12.42578125" customWidth="1"/>
    <col min="11" max="11" width="7.140625" style="189" customWidth="1"/>
    <col min="12" max="12" width="15.5703125" style="189" customWidth="1"/>
    <col min="13" max="13" width="16.7109375" customWidth="1"/>
    <col min="14" max="14" width="12" customWidth="1"/>
    <col min="15" max="15" width="10" customWidth="1"/>
    <col min="16" max="16" width="6" style="189" customWidth="1"/>
    <col min="17" max="17" width="11.42578125" style="189" customWidth="1"/>
    <col min="18" max="24" width="9" style="189" customWidth="1"/>
    <col min="25" max="27" width="9" customWidth="1"/>
    <col min="28" max="35" width="9" style="189" customWidth="1"/>
    <col min="36" max="36" width="10.5703125" style="189" customWidth="1"/>
    <col min="37" max="42" width="9" style="189" customWidth="1"/>
    <col min="43" max="43" width="11.140625" style="189" customWidth="1"/>
    <col min="44" max="44" width="9" style="189" customWidth="1"/>
    <col min="45" max="45" width="8.7109375" style="189" customWidth="1"/>
    <col min="46" max="49" width="9" style="189" customWidth="1"/>
    <col min="50" max="50" width="10.140625" style="189" customWidth="1"/>
    <col min="51" max="51" width="8.7109375" style="189" customWidth="1"/>
    <col min="53" max="53" width="34.85546875" customWidth="1"/>
    <col min="54" max="54" width="21.42578125" style="190" customWidth="1"/>
    <col min="55" max="55" width="15.42578125" customWidth="1"/>
    <col min="61" max="73" width="6" customWidth="1"/>
    <col min="74" max="74" width="7.85546875" customWidth="1"/>
    <col min="75" max="75" width="10" customWidth="1"/>
    <col min="76" max="76" width="8.140625" customWidth="1"/>
    <col min="77" max="77" width="10" customWidth="1"/>
  </cols>
  <sheetData>
    <row r="1" spans="1:77" s="187" customFormat="1">
      <c r="A1" s="191" t="s">
        <v>163</v>
      </c>
      <c r="B1" s="192"/>
      <c r="C1" s="193"/>
      <c r="D1" s="192"/>
      <c r="E1" s="192"/>
      <c r="F1" s="192"/>
      <c r="G1" s="194"/>
      <c r="H1" s="194"/>
      <c r="I1" s="194"/>
      <c r="J1" s="211"/>
      <c r="K1" s="194"/>
      <c r="L1" s="193"/>
      <c r="M1" s="211"/>
      <c r="N1" s="211"/>
      <c r="O1" s="211"/>
      <c r="P1" s="194"/>
      <c r="Q1" s="194"/>
      <c r="R1" s="194"/>
      <c r="S1" s="194"/>
      <c r="T1" s="194"/>
      <c r="U1" s="194"/>
      <c r="V1" s="194"/>
      <c r="W1" s="194"/>
      <c r="X1" s="194"/>
      <c r="Y1" s="211"/>
      <c r="Z1" s="211"/>
      <c r="AA1" s="211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211"/>
      <c r="BA1" s="223"/>
      <c r="BB1" s="192"/>
      <c r="BC1" s="223"/>
      <c r="BD1" s="192"/>
      <c r="BE1" s="192"/>
      <c r="BF1" s="192"/>
      <c r="BG1" s="192"/>
    </row>
    <row r="2" spans="1:77" s="187" customFormat="1">
      <c r="A2" s="191" t="s">
        <v>164</v>
      </c>
      <c r="B2" s="192"/>
      <c r="C2" s="193"/>
      <c r="D2" s="192"/>
      <c r="E2" s="192"/>
      <c r="F2" s="192"/>
      <c r="G2" s="194"/>
      <c r="H2" s="194"/>
      <c r="I2" s="194"/>
      <c r="J2" s="211"/>
      <c r="K2" s="194"/>
      <c r="L2" s="193"/>
      <c r="M2" s="211"/>
      <c r="N2" s="211"/>
      <c r="O2" s="211"/>
      <c r="P2" s="194"/>
      <c r="Q2" s="194"/>
      <c r="R2" s="194"/>
      <c r="S2" s="194"/>
      <c r="T2" s="194"/>
      <c r="U2" s="194"/>
      <c r="V2" s="194"/>
      <c r="W2" s="194"/>
      <c r="X2" s="194"/>
      <c r="Y2" s="211"/>
      <c r="Z2" s="211"/>
      <c r="AA2" s="211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211"/>
      <c r="BA2" s="223"/>
      <c r="BB2" s="192"/>
      <c r="BC2" s="223"/>
      <c r="BD2" s="192"/>
      <c r="BE2" s="192"/>
      <c r="BF2" s="192"/>
      <c r="BG2" s="192"/>
    </row>
    <row r="3" spans="1:77" s="187" customFormat="1" ht="15.75">
      <c r="A3" s="195" t="s">
        <v>165</v>
      </c>
      <c r="B3" s="192"/>
      <c r="C3" s="193"/>
      <c r="D3" s="192"/>
      <c r="E3" s="192"/>
      <c r="F3" s="192"/>
      <c r="G3" s="194"/>
      <c r="H3" s="194"/>
      <c r="I3" s="194"/>
      <c r="J3" s="192"/>
      <c r="K3" s="194"/>
      <c r="L3" s="194"/>
      <c r="M3" s="211"/>
      <c r="N3" s="211"/>
      <c r="O3" s="211"/>
      <c r="P3" s="194"/>
      <c r="Q3" s="194"/>
      <c r="R3" s="194"/>
      <c r="S3" s="194"/>
      <c r="T3" s="194"/>
      <c r="U3" s="194"/>
      <c r="V3" s="194"/>
      <c r="W3" s="194"/>
      <c r="X3" s="194"/>
      <c r="Y3" s="211"/>
      <c r="Z3" s="211"/>
      <c r="AA3" s="211"/>
      <c r="AB3" s="194"/>
      <c r="AC3" s="194"/>
      <c r="AD3" s="194"/>
      <c r="AE3" s="194"/>
      <c r="AF3" s="194"/>
      <c r="AG3" s="194"/>
      <c r="AH3" s="194"/>
      <c r="AI3" s="194"/>
      <c r="AJ3" s="194"/>
      <c r="AK3" s="194"/>
      <c r="AL3" s="194"/>
      <c r="AM3" s="194"/>
      <c r="AN3" s="194"/>
      <c r="AO3" s="194"/>
      <c r="AP3" s="194"/>
      <c r="AQ3" s="194"/>
      <c r="AR3" s="194"/>
      <c r="AS3" s="194"/>
      <c r="AT3" s="194"/>
      <c r="AU3" s="194"/>
      <c r="AV3" s="194"/>
      <c r="AW3" s="194"/>
      <c r="AX3" s="194"/>
      <c r="AY3" s="194"/>
      <c r="AZ3" s="211"/>
      <c r="BA3" s="223"/>
      <c r="BB3" s="192"/>
      <c r="BC3" s="223"/>
      <c r="BD3" s="192"/>
      <c r="BE3" s="192"/>
      <c r="BF3" s="192"/>
      <c r="BG3" s="192"/>
      <c r="BI3" s="283" t="s">
        <v>166</v>
      </c>
      <c r="BJ3" s="284"/>
      <c r="BK3" s="284"/>
      <c r="BL3" s="284"/>
      <c r="BM3" s="284"/>
      <c r="BN3" s="284"/>
      <c r="BO3" s="284"/>
      <c r="BP3" s="285"/>
      <c r="BQ3" s="283" t="s">
        <v>167</v>
      </c>
      <c r="BR3" s="284"/>
      <c r="BS3" s="284"/>
      <c r="BT3" s="284"/>
      <c r="BU3" s="285"/>
    </row>
    <row r="4" spans="1:77" s="188" customFormat="1" ht="70.5" customHeight="1">
      <c r="A4" s="196" t="s">
        <v>168</v>
      </c>
      <c r="B4" s="196" t="s">
        <v>169</v>
      </c>
      <c r="C4" s="196" t="s">
        <v>170</v>
      </c>
      <c r="D4" s="196" t="s">
        <v>171</v>
      </c>
      <c r="E4" s="196" t="s">
        <v>172</v>
      </c>
      <c r="F4" s="197" t="s">
        <v>109</v>
      </c>
      <c r="G4" s="198" t="s">
        <v>173</v>
      </c>
      <c r="H4" s="196" t="s">
        <v>174</v>
      </c>
      <c r="I4" s="212" t="s">
        <v>175</v>
      </c>
      <c r="J4" s="197" t="s">
        <v>176</v>
      </c>
      <c r="K4" s="196" t="s">
        <v>177</v>
      </c>
      <c r="L4" s="196" t="s">
        <v>178</v>
      </c>
      <c r="M4" s="197" t="s">
        <v>179</v>
      </c>
      <c r="N4" s="197" t="s">
        <v>180</v>
      </c>
      <c r="O4" s="197" t="s">
        <v>181</v>
      </c>
      <c r="P4" s="196" t="s">
        <v>182</v>
      </c>
      <c r="Q4" s="196" t="s">
        <v>183</v>
      </c>
      <c r="R4" s="196" t="s">
        <v>20</v>
      </c>
      <c r="S4" s="198" t="s">
        <v>184</v>
      </c>
      <c r="T4" s="196" t="s">
        <v>185</v>
      </c>
      <c r="U4" s="198" t="s">
        <v>186</v>
      </c>
      <c r="V4" s="196" t="s">
        <v>23</v>
      </c>
      <c r="W4" s="196" t="s">
        <v>24</v>
      </c>
      <c r="X4" s="196" t="s">
        <v>187</v>
      </c>
      <c r="Y4" s="197" t="s">
        <v>188</v>
      </c>
      <c r="Z4" s="197" t="s">
        <v>189</v>
      </c>
      <c r="AA4" s="219" t="s">
        <v>190</v>
      </c>
      <c r="AB4" s="196" t="s">
        <v>184</v>
      </c>
      <c r="AC4" s="196" t="s">
        <v>185</v>
      </c>
      <c r="AD4" s="196" t="s">
        <v>186</v>
      </c>
      <c r="AE4" s="196" t="s">
        <v>23</v>
      </c>
      <c r="AF4" s="196" t="s">
        <v>24</v>
      </c>
      <c r="AG4" s="196" t="s">
        <v>187</v>
      </c>
      <c r="AH4" s="196" t="s">
        <v>188</v>
      </c>
      <c r="AI4" s="196" t="s">
        <v>191</v>
      </c>
      <c r="AJ4" s="196" t="s">
        <v>189</v>
      </c>
      <c r="AK4" s="196" t="s">
        <v>190</v>
      </c>
      <c r="AL4" s="196" t="s">
        <v>192</v>
      </c>
      <c r="AM4" s="196" t="s">
        <v>193</v>
      </c>
      <c r="AN4" s="196" t="s">
        <v>194</v>
      </c>
      <c r="AO4" s="196" t="s">
        <v>195</v>
      </c>
      <c r="AP4" s="196" t="s">
        <v>196</v>
      </c>
      <c r="AQ4" s="196" t="s">
        <v>197</v>
      </c>
      <c r="AR4" s="196" t="s">
        <v>198</v>
      </c>
      <c r="AS4" s="196" t="s">
        <v>199</v>
      </c>
      <c r="AT4" s="196" t="s">
        <v>200</v>
      </c>
      <c r="AU4" s="196" t="s">
        <v>201</v>
      </c>
      <c r="AV4" s="196" t="s">
        <v>202</v>
      </c>
      <c r="AW4" s="196" t="s">
        <v>203</v>
      </c>
      <c r="AX4" s="196" t="s">
        <v>204</v>
      </c>
      <c r="AY4" s="196" t="s">
        <v>205</v>
      </c>
      <c r="AZ4" s="224"/>
      <c r="BA4" s="225" t="s">
        <v>206</v>
      </c>
      <c r="BB4" s="226" t="s">
        <v>207</v>
      </c>
      <c r="BC4" s="225" t="s">
        <v>208</v>
      </c>
      <c r="BD4" s="197" t="s">
        <v>205</v>
      </c>
      <c r="BE4" s="197" t="s">
        <v>209</v>
      </c>
      <c r="BF4" s="196" t="s">
        <v>210</v>
      </c>
      <c r="BG4" s="197" t="s">
        <v>211</v>
      </c>
      <c r="BI4" s="233" t="s">
        <v>212</v>
      </c>
      <c r="BJ4" s="233" t="s">
        <v>213</v>
      </c>
      <c r="BK4" s="233" t="s">
        <v>109</v>
      </c>
      <c r="BL4" s="233" t="s">
        <v>214</v>
      </c>
      <c r="BM4" s="233" t="s">
        <v>215</v>
      </c>
      <c r="BN4" s="233" t="s">
        <v>216</v>
      </c>
      <c r="BO4" s="233" t="s">
        <v>217</v>
      </c>
      <c r="BP4" s="234" t="s">
        <v>218</v>
      </c>
      <c r="BQ4" s="233" t="s">
        <v>219</v>
      </c>
      <c r="BR4" s="233" t="s">
        <v>220</v>
      </c>
      <c r="BS4" s="233" t="s">
        <v>221</v>
      </c>
      <c r="BT4" s="233" t="s">
        <v>220</v>
      </c>
      <c r="BU4" s="233" t="s">
        <v>218</v>
      </c>
      <c r="BV4" s="235" t="s">
        <v>222</v>
      </c>
      <c r="BW4" s="235" t="s">
        <v>223</v>
      </c>
      <c r="BX4" s="235" t="s">
        <v>224</v>
      </c>
      <c r="BY4" s="235" t="s">
        <v>225</v>
      </c>
    </row>
    <row r="5" spans="1:77" s="2" customFormat="1" ht="15.75">
      <c r="A5" s="36">
        <v>1</v>
      </c>
      <c r="B5" s="9"/>
      <c r="C5" s="199" t="s">
        <v>118</v>
      </c>
      <c r="D5" s="200" t="s">
        <v>119</v>
      </c>
      <c r="E5" s="175" t="s">
        <v>226</v>
      </c>
      <c r="F5" s="8" t="s">
        <v>120</v>
      </c>
      <c r="G5" s="266" t="s">
        <v>227</v>
      </c>
      <c r="H5" s="267" t="s">
        <v>228</v>
      </c>
      <c r="I5" s="213">
        <v>45887</v>
      </c>
      <c r="J5" s="16" t="s">
        <v>229</v>
      </c>
      <c r="K5" s="36" t="s">
        <v>230</v>
      </c>
      <c r="L5" s="36" t="s">
        <v>231</v>
      </c>
      <c r="M5" s="16" t="s">
        <v>4</v>
      </c>
      <c r="N5" s="16" t="s">
        <v>232</v>
      </c>
      <c r="O5" s="214">
        <v>46054</v>
      </c>
      <c r="P5" s="36">
        <v>26</v>
      </c>
      <c r="Q5" s="206">
        <v>5</v>
      </c>
      <c r="R5" s="36">
        <v>0</v>
      </c>
      <c r="S5" s="36">
        <v>12813</v>
      </c>
      <c r="T5" s="36">
        <v>0</v>
      </c>
      <c r="U5" s="36">
        <f t="shared" ref="U5:U18" si="0">S5+T5</f>
        <v>12813</v>
      </c>
      <c r="V5" s="36">
        <v>0</v>
      </c>
      <c r="W5" s="36">
        <v>0</v>
      </c>
      <c r="X5" s="36">
        <v>0</v>
      </c>
      <c r="Y5" s="16">
        <v>1602</v>
      </c>
      <c r="Z5" s="16">
        <v>1067</v>
      </c>
      <c r="AA5" s="16">
        <f t="shared" ref="AA5:AA18" si="1">SUM(U5:Z5)</f>
        <v>15482</v>
      </c>
      <c r="AB5" s="36">
        <f t="shared" ref="AB5:AB18" si="2">ROUND(S5/P5*Q5,0)</f>
        <v>2464</v>
      </c>
      <c r="AC5" s="36">
        <f t="shared" ref="AC5:AC18" si="3">ROUND(T5/P5*Q5,0)</f>
        <v>0</v>
      </c>
      <c r="AD5" s="36">
        <f t="shared" ref="AD5:AD18" si="4">AB5+AC5</f>
        <v>2464</v>
      </c>
      <c r="AE5" s="36">
        <f t="shared" ref="AE5:AE18" si="5">ROUND(V5/P5*Q5,0)</f>
        <v>0</v>
      </c>
      <c r="AF5" s="36">
        <f t="shared" ref="AF5:AF18" si="6">ROUND(W5/P5*Q5,0)</f>
        <v>0</v>
      </c>
      <c r="AG5" s="36">
        <f t="shared" ref="AG5:AG18" si="7">ROUND(X5/P5*Q5,0)</f>
        <v>0</v>
      </c>
      <c r="AH5" s="36">
        <f t="shared" ref="AH5:AH18" si="8">ROUND(Y5/P5*Q5,0)</f>
        <v>308</v>
      </c>
      <c r="AI5" s="36">
        <f t="shared" ref="AI5:AI18" si="9">ROUND((S5/26)/4*R5,0)</f>
        <v>0</v>
      </c>
      <c r="AJ5" s="36">
        <f t="shared" ref="AJ5:AJ18" si="10">ROUND(Z5/P5*Q5,0)</f>
        <v>205</v>
      </c>
      <c r="AK5" s="36">
        <f t="shared" ref="AK5:AK18" si="11">ROUND(SUM(AD5:AJ5),0)</f>
        <v>2977</v>
      </c>
      <c r="AL5" s="203">
        <f>IF(AB5&lt;15000,AB5,15000)</f>
        <v>2464</v>
      </c>
      <c r="AM5" s="36">
        <f t="shared" ref="AM5:AM18" si="12">ROUND(AL5*13%,0)</f>
        <v>320</v>
      </c>
      <c r="AN5" s="17">
        <f t="shared" ref="AN5:AN18" si="13">IF(AA5&gt;=21000,0,AK5*3.25%)</f>
        <v>96.752499999999998</v>
      </c>
      <c r="AO5" s="36">
        <v>5.83</v>
      </c>
      <c r="AP5" s="17">
        <f t="shared" ref="AP5:AP18" si="14">SUM(AM5:AO5)</f>
        <v>422.58249999999998</v>
      </c>
      <c r="AQ5" s="17">
        <f t="shared" ref="AQ5:AQ18" si="15">AK5+AP5</f>
        <v>3399.5825</v>
      </c>
      <c r="AR5" s="36"/>
      <c r="AS5" s="17">
        <f t="shared" ref="AS5:AS18" si="16">AQ5+AR5</f>
        <v>3399.5825</v>
      </c>
      <c r="AT5" s="36">
        <f t="shared" ref="AT5:AT18" si="17">ROUND(AL5*12%,0)</f>
        <v>296</v>
      </c>
      <c r="AU5" s="36">
        <f t="shared" ref="AU5:AU18" si="18">IF(AA5&gt;21000,0,CEILING(AK5*0.75%,1))</f>
        <v>23</v>
      </c>
      <c r="AV5" s="222">
        <v>2.5</v>
      </c>
      <c r="AW5" s="36">
        <f t="shared" ref="AW5:AW18" si="19">IF(AK5&gt;20000,200,IF(AK5&gt;15000,150,0))</f>
        <v>0</v>
      </c>
      <c r="AX5" s="36">
        <f t="shared" ref="AX5:AX18" si="20">SUM(AT5:AW5)</f>
        <v>321.5</v>
      </c>
      <c r="AY5" s="36">
        <f>ROUND(AK5-AX5,0)</f>
        <v>2656</v>
      </c>
      <c r="BA5" s="175" t="s">
        <v>233</v>
      </c>
      <c r="BB5" s="201" t="s">
        <v>234</v>
      </c>
      <c r="BC5" s="203" t="s">
        <v>235</v>
      </c>
      <c r="BD5" s="16">
        <f t="shared" ref="BD5:BD19" si="21">AY5</f>
        <v>2656</v>
      </c>
      <c r="BE5" s="43"/>
      <c r="BF5" s="40">
        <f t="shared" ref="BF5:BF19" si="22">ROUND(BD5-BE5,0)</f>
        <v>2656</v>
      </c>
      <c r="BG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</row>
    <row r="6" spans="1:77" s="2" customFormat="1" ht="15.75" customHeight="1">
      <c r="A6" s="36">
        <v>2</v>
      </c>
      <c r="B6" s="9"/>
      <c r="C6" s="199" t="s">
        <v>125</v>
      </c>
      <c r="D6" s="202" t="s">
        <v>126</v>
      </c>
      <c r="E6" s="8" t="s">
        <v>236</v>
      </c>
      <c r="F6" s="8" t="s">
        <v>120</v>
      </c>
      <c r="G6" s="268" t="s">
        <v>237</v>
      </c>
      <c r="H6" s="267" t="s">
        <v>238</v>
      </c>
      <c r="I6" s="213">
        <v>45887</v>
      </c>
      <c r="J6" s="16" t="s">
        <v>229</v>
      </c>
      <c r="K6" s="36" t="s">
        <v>230</v>
      </c>
      <c r="L6" s="36" t="s">
        <v>231</v>
      </c>
      <c r="M6" s="16" t="s">
        <v>4</v>
      </c>
      <c r="N6" s="16" t="s">
        <v>232</v>
      </c>
      <c r="O6" s="214">
        <v>46054</v>
      </c>
      <c r="P6" s="36">
        <v>26</v>
      </c>
      <c r="Q6" s="206">
        <v>20</v>
      </c>
      <c r="R6" s="36">
        <v>0</v>
      </c>
      <c r="S6" s="36">
        <v>12813</v>
      </c>
      <c r="T6" s="36">
        <v>0</v>
      </c>
      <c r="U6" s="36">
        <f t="shared" si="0"/>
        <v>12813</v>
      </c>
      <c r="V6" s="36">
        <v>0</v>
      </c>
      <c r="W6" s="36">
        <v>0</v>
      </c>
      <c r="X6" s="36">
        <v>0</v>
      </c>
      <c r="Y6" s="16">
        <v>1602</v>
      </c>
      <c r="Z6" s="16">
        <v>1067</v>
      </c>
      <c r="AA6" s="16">
        <f t="shared" si="1"/>
        <v>15482</v>
      </c>
      <c r="AB6" s="36">
        <f t="shared" si="2"/>
        <v>9856</v>
      </c>
      <c r="AC6" s="36">
        <f t="shared" si="3"/>
        <v>0</v>
      </c>
      <c r="AD6" s="36">
        <f t="shared" si="4"/>
        <v>9856</v>
      </c>
      <c r="AE6" s="36">
        <f t="shared" si="5"/>
        <v>0</v>
      </c>
      <c r="AF6" s="36">
        <f t="shared" si="6"/>
        <v>0</v>
      </c>
      <c r="AG6" s="36">
        <f t="shared" si="7"/>
        <v>0</v>
      </c>
      <c r="AH6" s="36">
        <f t="shared" si="8"/>
        <v>1232</v>
      </c>
      <c r="AI6" s="36">
        <f t="shared" si="9"/>
        <v>0</v>
      </c>
      <c r="AJ6" s="36">
        <f t="shared" si="10"/>
        <v>821</v>
      </c>
      <c r="AK6" s="36">
        <f t="shared" si="11"/>
        <v>11909</v>
      </c>
      <c r="AL6" s="203">
        <f t="shared" ref="AL6:AL18" si="23">IF(AB6&lt;15000,AB6,15000)</f>
        <v>9856</v>
      </c>
      <c r="AM6" s="36">
        <f t="shared" si="12"/>
        <v>1281</v>
      </c>
      <c r="AN6" s="17">
        <f t="shared" si="13"/>
        <v>387.04250000000002</v>
      </c>
      <c r="AO6" s="36">
        <v>5.83</v>
      </c>
      <c r="AP6" s="17">
        <f t="shared" si="14"/>
        <v>1673.8724999999999</v>
      </c>
      <c r="AQ6" s="17">
        <f t="shared" si="15"/>
        <v>13582.872499999999</v>
      </c>
      <c r="AR6" s="36"/>
      <c r="AS6" s="17">
        <f t="shared" si="16"/>
        <v>13582.872499999999</v>
      </c>
      <c r="AT6" s="36">
        <f t="shared" si="17"/>
        <v>1183</v>
      </c>
      <c r="AU6" s="36">
        <f t="shared" si="18"/>
        <v>90</v>
      </c>
      <c r="AV6" s="222">
        <v>2.5</v>
      </c>
      <c r="AW6" s="36">
        <f t="shared" si="19"/>
        <v>0</v>
      </c>
      <c r="AX6" s="36">
        <f t="shared" si="20"/>
        <v>1275.5</v>
      </c>
      <c r="AY6" s="36">
        <f t="shared" ref="AY6:AY18" si="24">ROUND(AK6-AX6,0)</f>
        <v>10634</v>
      </c>
      <c r="BA6" s="8" t="s">
        <v>236</v>
      </c>
      <c r="BB6" s="201" t="s">
        <v>239</v>
      </c>
      <c r="BC6" s="203" t="s">
        <v>235</v>
      </c>
      <c r="BD6" s="16">
        <f t="shared" si="21"/>
        <v>10634</v>
      </c>
      <c r="BE6" s="43"/>
      <c r="BF6" s="40">
        <f t="shared" si="22"/>
        <v>10634</v>
      </c>
      <c r="BG6" s="70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</row>
    <row r="7" spans="1:77" s="2" customFormat="1" ht="15.75">
      <c r="A7" s="36">
        <v>3</v>
      </c>
      <c r="B7" s="9"/>
      <c r="C7" s="199" t="s">
        <v>128</v>
      </c>
      <c r="D7" s="200" t="s">
        <v>129</v>
      </c>
      <c r="E7" s="8" t="s">
        <v>240</v>
      </c>
      <c r="F7" s="8" t="s">
        <v>120</v>
      </c>
      <c r="G7" s="268" t="s">
        <v>241</v>
      </c>
      <c r="H7" s="267" t="s">
        <v>242</v>
      </c>
      <c r="I7" s="213">
        <v>45889</v>
      </c>
      <c r="J7" s="16" t="s">
        <v>229</v>
      </c>
      <c r="K7" s="36" t="s">
        <v>230</v>
      </c>
      <c r="L7" s="36" t="s">
        <v>231</v>
      </c>
      <c r="M7" s="16" t="s">
        <v>4</v>
      </c>
      <c r="N7" s="16" t="s">
        <v>232</v>
      </c>
      <c r="O7" s="214">
        <v>46054</v>
      </c>
      <c r="P7" s="36">
        <v>26</v>
      </c>
      <c r="Q7" s="206">
        <v>27</v>
      </c>
      <c r="R7" s="36">
        <v>0</v>
      </c>
      <c r="S7" s="36">
        <v>12813</v>
      </c>
      <c r="T7" s="36">
        <v>0</v>
      </c>
      <c r="U7" s="36">
        <f t="shared" si="0"/>
        <v>12813</v>
      </c>
      <c r="V7" s="36">
        <v>0</v>
      </c>
      <c r="W7" s="36">
        <v>0</v>
      </c>
      <c r="X7" s="36">
        <v>0</v>
      </c>
      <c r="Y7" s="16">
        <v>1602</v>
      </c>
      <c r="Z7" s="16">
        <v>1067</v>
      </c>
      <c r="AA7" s="16">
        <f t="shared" si="1"/>
        <v>15482</v>
      </c>
      <c r="AB7" s="36">
        <f t="shared" si="2"/>
        <v>13306</v>
      </c>
      <c r="AC7" s="36">
        <f t="shared" si="3"/>
        <v>0</v>
      </c>
      <c r="AD7" s="36">
        <f t="shared" si="4"/>
        <v>13306</v>
      </c>
      <c r="AE7" s="36">
        <f t="shared" si="5"/>
        <v>0</v>
      </c>
      <c r="AF7" s="36">
        <f t="shared" si="6"/>
        <v>0</v>
      </c>
      <c r="AG7" s="36">
        <f t="shared" si="7"/>
        <v>0</v>
      </c>
      <c r="AH7" s="36">
        <f t="shared" si="8"/>
        <v>1664</v>
      </c>
      <c r="AI7" s="36">
        <f t="shared" si="9"/>
        <v>0</v>
      </c>
      <c r="AJ7" s="36">
        <f t="shared" si="10"/>
        <v>1108</v>
      </c>
      <c r="AK7" s="36">
        <f t="shared" si="11"/>
        <v>16078</v>
      </c>
      <c r="AL7" s="203">
        <f t="shared" si="23"/>
        <v>13306</v>
      </c>
      <c r="AM7" s="36">
        <f t="shared" si="12"/>
        <v>1730</v>
      </c>
      <c r="AN7" s="17">
        <f t="shared" si="13"/>
        <v>522.53499999999997</v>
      </c>
      <c r="AO7" s="36">
        <v>5.83</v>
      </c>
      <c r="AP7" s="17">
        <f t="shared" si="14"/>
        <v>2258.3649999999998</v>
      </c>
      <c r="AQ7" s="17">
        <f t="shared" si="15"/>
        <v>18336.365000000002</v>
      </c>
      <c r="AR7" s="36"/>
      <c r="AS7" s="17">
        <f t="shared" si="16"/>
        <v>18336.365000000002</v>
      </c>
      <c r="AT7" s="36">
        <f t="shared" si="17"/>
        <v>1597</v>
      </c>
      <c r="AU7" s="36">
        <f t="shared" si="18"/>
        <v>121</v>
      </c>
      <c r="AV7" s="222">
        <v>2.5</v>
      </c>
      <c r="AW7" s="36">
        <f t="shared" si="19"/>
        <v>150</v>
      </c>
      <c r="AX7" s="36">
        <f t="shared" si="20"/>
        <v>1870.5</v>
      </c>
      <c r="AY7" s="36">
        <f t="shared" si="24"/>
        <v>14208</v>
      </c>
      <c r="BA7" s="8" t="s">
        <v>240</v>
      </c>
      <c r="BB7" s="201" t="s">
        <v>243</v>
      </c>
      <c r="BC7" s="203" t="s">
        <v>244</v>
      </c>
      <c r="BD7" s="16">
        <f t="shared" si="21"/>
        <v>14208</v>
      </c>
      <c r="BE7" s="43"/>
      <c r="BF7" s="40">
        <f t="shared" si="22"/>
        <v>14208</v>
      </c>
      <c r="BG7" s="70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</row>
    <row r="8" spans="1:77" s="2" customFormat="1" ht="15.75">
      <c r="A8" s="36">
        <v>4</v>
      </c>
      <c r="B8" s="9"/>
      <c r="C8" s="199" t="s">
        <v>132</v>
      </c>
      <c r="D8" s="200" t="s">
        <v>133</v>
      </c>
      <c r="E8" s="8" t="s">
        <v>245</v>
      </c>
      <c r="F8" s="8" t="s">
        <v>130</v>
      </c>
      <c r="G8" s="268" t="s">
        <v>246</v>
      </c>
      <c r="H8" s="267" t="s">
        <v>247</v>
      </c>
      <c r="I8" s="213">
        <v>45892</v>
      </c>
      <c r="J8" s="16" t="s">
        <v>229</v>
      </c>
      <c r="K8" s="36" t="s">
        <v>230</v>
      </c>
      <c r="L8" s="36" t="s">
        <v>231</v>
      </c>
      <c r="M8" s="16" t="s">
        <v>4</v>
      </c>
      <c r="N8" s="16" t="s">
        <v>232</v>
      </c>
      <c r="O8" s="214">
        <v>46054</v>
      </c>
      <c r="P8" s="36">
        <v>26</v>
      </c>
      <c r="Q8" s="206">
        <v>27</v>
      </c>
      <c r="R8" s="36">
        <v>0</v>
      </c>
      <c r="S8" s="36">
        <v>12813</v>
      </c>
      <c r="T8" s="36">
        <v>0</v>
      </c>
      <c r="U8" s="36">
        <f t="shared" si="0"/>
        <v>12813</v>
      </c>
      <c r="V8" s="36">
        <v>0</v>
      </c>
      <c r="W8" s="36">
        <v>0</v>
      </c>
      <c r="X8" s="36">
        <v>0</v>
      </c>
      <c r="Y8" s="16">
        <v>1602</v>
      </c>
      <c r="Z8" s="16">
        <v>1067</v>
      </c>
      <c r="AA8" s="16">
        <f t="shared" si="1"/>
        <v>15482</v>
      </c>
      <c r="AB8" s="36">
        <f t="shared" si="2"/>
        <v>13306</v>
      </c>
      <c r="AC8" s="36">
        <f t="shared" si="3"/>
        <v>0</v>
      </c>
      <c r="AD8" s="36">
        <f t="shared" si="4"/>
        <v>13306</v>
      </c>
      <c r="AE8" s="36">
        <f t="shared" si="5"/>
        <v>0</v>
      </c>
      <c r="AF8" s="36">
        <f t="shared" si="6"/>
        <v>0</v>
      </c>
      <c r="AG8" s="36">
        <f t="shared" si="7"/>
        <v>0</v>
      </c>
      <c r="AH8" s="36">
        <f t="shared" si="8"/>
        <v>1664</v>
      </c>
      <c r="AI8" s="36">
        <f t="shared" si="9"/>
        <v>0</v>
      </c>
      <c r="AJ8" s="36">
        <f t="shared" si="10"/>
        <v>1108</v>
      </c>
      <c r="AK8" s="36">
        <f t="shared" si="11"/>
        <v>16078</v>
      </c>
      <c r="AL8" s="203">
        <f t="shared" si="23"/>
        <v>13306</v>
      </c>
      <c r="AM8" s="36">
        <f t="shared" si="12"/>
        <v>1730</v>
      </c>
      <c r="AN8" s="17">
        <f t="shared" si="13"/>
        <v>522.53499999999997</v>
      </c>
      <c r="AO8" s="36">
        <v>5.83</v>
      </c>
      <c r="AP8" s="17">
        <f t="shared" si="14"/>
        <v>2258.3649999999998</v>
      </c>
      <c r="AQ8" s="17">
        <f t="shared" si="15"/>
        <v>18336.365000000002</v>
      </c>
      <c r="AR8" s="36"/>
      <c r="AS8" s="17">
        <f t="shared" si="16"/>
        <v>18336.365000000002</v>
      </c>
      <c r="AT8" s="36">
        <f t="shared" si="17"/>
        <v>1597</v>
      </c>
      <c r="AU8" s="36">
        <f t="shared" si="18"/>
        <v>121</v>
      </c>
      <c r="AV8" s="222">
        <v>2.5</v>
      </c>
      <c r="AW8" s="36">
        <f t="shared" si="19"/>
        <v>150</v>
      </c>
      <c r="AX8" s="36">
        <f t="shared" si="20"/>
        <v>1870.5</v>
      </c>
      <c r="AY8" s="36">
        <f t="shared" si="24"/>
        <v>14208</v>
      </c>
      <c r="BA8" s="8" t="s">
        <v>245</v>
      </c>
      <c r="BB8" s="201" t="s">
        <v>248</v>
      </c>
      <c r="BC8" s="203" t="s">
        <v>249</v>
      </c>
      <c r="BD8" s="16">
        <f t="shared" si="21"/>
        <v>14208</v>
      </c>
      <c r="BE8" s="43"/>
      <c r="BF8" s="40">
        <f t="shared" si="22"/>
        <v>14208</v>
      </c>
      <c r="BG8" s="70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</row>
    <row r="9" spans="1:77" s="2" customFormat="1" ht="15.75">
      <c r="A9" s="36">
        <v>5</v>
      </c>
      <c r="B9" s="9"/>
      <c r="C9" s="199" t="s">
        <v>135</v>
      </c>
      <c r="D9" s="200" t="s">
        <v>136</v>
      </c>
      <c r="E9" s="8" t="s">
        <v>250</v>
      </c>
      <c r="F9" s="8" t="s">
        <v>120</v>
      </c>
      <c r="G9" s="268" t="s">
        <v>251</v>
      </c>
      <c r="H9" s="267" t="s">
        <v>252</v>
      </c>
      <c r="I9" s="213">
        <v>45887</v>
      </c>
      <c r="J9" s="16" t="s">
        <v>229</v>
      </c>
      <c r="K9" s="36" t="s">
        <v>230</v>
      </c>
      <c r="L9" s="36" t="s">
        <v>231</v>
      </c>
      <c r="M9" s="16" t="s">
        <v>4</v>
      </c>
      <c r="N9" s="16" t="s">
        <v>232</v>
      </c>
      <c r="O9" s="214">
        <v>46054</v>
      </c>
      <c r="P9" s="36">
        <v>26</v>
      </c>
      <c r="Q9" s="206">
        <v>26</v>
      </c>
      <c r="R9" s="36">
        <v>0</v>
      </c>
      <c r="S9" s="36">
        <v>12813</v>
      </c>
      <c r="T9" s="36">
        <v>0</v>
      </c>
      <c r="U9" s="36">
        <f t="shared" si="0"/>
        <v>12813</v>
      </c>
      <c r="V9" s="36">
        <v>0</v>
      </c>
      <c r="W9" s="36">
        <v>0</v>
      </c>
      <c r="X9" s="36">
        <v>0</v>
      </c>
      <c r="Y9" s="16">
        <v>1602</v>
      </c>
      <c r="Z9" s="16">
        <v>1067</v>
      </c>
      <c r="AA9" s="16">
        <f t="shared" si="1"/>
        <v>15482</v>
      </c>
      <c r="AB9" s="36">
        <f t="shared" si="2"/>
        <v>12813</v>
      </c>
      <c r="AC9" s="36">
        <f t="shared" si="3"/>
        <v>0</v>
      </c>
      <c r="AD9" s="36">
        <f t="shared" si="4"/>
        <v>12813</v>
      </c>
      <c r="AE9" s="36">
        <f t="shared" si="5"/>
        <v>0</v>
      </c>
      <c r="AF9" s="36">
        <f t="shared" si="6"/>
        <v>0</v>
      </c>
      <c r="AG9" s="36">
        <f t="shared" si="7"/>
        <v>0</v>
      </c>
      <c r="AH9" s="36">
        <f t="shared" si="8"/>
        <v>1602</v>
      </c>
      <c r="AI9" s="36">
        <f t="shared" si="9"/>
        <v>0</v>
      </c>
      <c r="AJ9" s="36">
        <f t="shared" si="10"/>
        <v>1067</v>
      </c>
      <c r="AK9" s="36">
        <f t="shared" si="11"/>
        <v>15482</v>
      </c>
      <c r="AL9" s="203">
        <f t="shared" si="23"/>
        <v>12813</v>
      </c>
      <c r="AM9" s="36">
        <f t="shared" si="12"/>
        <v>1666</v>
      </c>
      <c r="AN9" s="17">
        <f t="shared" si="13"/>
        <v>503.16500000000002</v>
      </c>
      <c r="AO9" s="36">
        <v>5.83</v>
      </c>
      <c r="AP9" s="17">
        <f t="shared" si="14"/>
        <v>2174.9949999999999</v>
      </c>
      <c r="AQ9" s="17">
        <f t="shared" si="15"/>
        <v>17656.994999999999</v>
      </c>
      <c r="AR9" s="36"/>
      <c r="AS9" s="17">
        <f t="shared" si="16"/>
        <v>17656.994999999999</v>
      </c>
      <c r="AT9" s="36">
        <f t="shared" si="17"/>
        <v>1538</v>
      </c>
      <c r="AU9" s="36">
        <f t="shared" si="18"/>
        <v>117</v>
      </c>
      <c r="AV9" s="222">
        <v>2.5</v>
      </c>
      <c r="AW9" s="36">
        <f t="shared" si="19"/>
        <v>150</v>
      </c>
      <c r="AX9" s="36">
        <f t="shared" si="20"/>
        <v>1807.5</v>
      </c>
      <c r="AY9" s="36">
        <f t="shared" si="24"/>
        <v>13675</v>
      </c>
      <c r="BA9" s="8" t="s">
        <v>250</v>
      </c>
      <c r="BB9" s="201" t="s">
        <v>253</v>
      </c>
      <c r="BC9" s="203" t="s">
        <v>254</v>
      </c>
      <c r="BD9" s="16">
        <f t="shared" si="21"/>
        <v>13675</v>
      </c>
      <c r="BE9" s="43"/>
      <c r="BF9" s="40">
        <f t="shared" si="22"/>
        <v>13675</v>
      </c>
      <c r="BG9" s="70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</row>
    <row r="10" spans="1:77" s="2" customFormat="1" ht="15.75">
      <c r="A10" s="36">
        <v>6</v>
      </c>
      <c r="B10" s="9"/>
      <c r="C10" s="199" t="s">
        <v>137</v>
      </c>
      <c r="D10" s="202" t="s">
        <v>255</v>
      </c>
      <c r="E10" s="8" t="s">
        <v>256</v>
      </c>
      <c r="F10" s="8" t="s">
        <v>120</v>
      </c>
      <c r="G10" s="268" t="s">
        <v>257</v>
      </c>
      <c r="H10" s="267" t="s">
        <v>258</v>
      </c>
      <c r="I10" s="213">
        <v>45887</v>
      </c>
      <c r="J10" s="16" t="s">
        <v>229</v>
      </c>
      <c r="K10" s="36" t="s">
        <v>230</v>
      </c>
      <c r="L10" s="36" t="s">
        <v>231</v>
      </c>
      <c r="M10" s="16" t="s">
        <v>4</v>
      </c>
      <c r="N10" s="16" t="s">
        <v>232</v>
      </c>
      <c r="O10" s="214">
        <v>46054</v>
      </c>
      <c r="P10" s="36">
        <v>26</v>
      </c>
      <c r="Q10" s="206">
        <v>27</v>
      </c>
      <c r="R10" s="36">
        <v>0</v>
      </c>
      <c r="S10" s="36">
        <v>12813</v>
      </c>
      <c r="T10" s="36">
        <v>0</v>
      </c>
      <c r="U10" s="36">
        <f t="shared" si="0"/>
        <v>12813</v>
      </c>
      <c r="V10" s="36">
        <v>0</v>
      </c>
      <c r="W10" s="36">
        <v>0</v>
      </c>
      <c r="X10" s="36">
        <v>0</v>
      </c>
      <c r="Y10" s="16">
        <v>1602</v>
      </c>
      <c r="Z10" s="16">
        <v>1067</v>
      </c>
      <c r="AA10" s="16">
        <f t="shared" si="1"/>
        <v>15482</v>
      </c>
      <c r="AB10" s="36">
        <f t="shared" si="2"/>
        <v>13306</v>
      </c>
      <c r="AC10" s="36">
        <f t="shared" si="3"/>
        <v>0</v>
      </c>
      <c r="AD10" s="36">
        <f t="shared" si="4"/>
        <v>13306</v>
      </c>
      <c r="AE10" s="36">
        <f t="shared" si="5"/>
        <v>0</v>
      </c>
      <c r="AF10" s="36">
        <f t="shared" si="6"/>
        <v>0</v>
      </c>
      <c r="AG10" s="36">
        <f t="shared" si="7"/>
        <v>0</v>
      </c>
      <c r="AH10" s="36">
        <f t="shared" si="8"/>
        <v>1664</v>
      </c>
      <c r="AI10" s="36">
        <f t="shared" si="9"/>
        <v>0</v>
      </c>
      <c r="AJ10" s="36">
        <f t="shared" si="10"/>
        <v>1108</v>
      </c>
      <c r="AK10" s="36">
        <f t="shared" si="11"/>
        <v>16078</v>
      </c>
      <c r="AL10" s="203">
        <f t="shared" si="23"/>
        <v>13306</v>
      </c>
      <c r="AM10" s="36">
        <f t="shared" si="12"/>
        <v>1730</v>
      </c>
      <c r="AN10" s="17">
        <f t="shared" si="13"/>
        <v>522.53499999999997</v>
      </c>
      <c r="AO10" s="36">
        <v>5.83</v>
      </c>
      <c r="AP10" s="17">
        <f t="shared" si="14"/>
        <v>2258.3649999999998</v>
      </c>
      <c r="AQ10" s="17">
        <f t="shared" si="15"/>
        <v>18336.365000000002</v>
      </c>
      <c r="AR10" s="36"/>
      <c r="AS10" s="17">
        <f t="shared" si="16"/>
        <v>18336.365000000002</v>
      </c>
      <c r="AT10" s="36">
        <f t="shared" si="17"/>
        <v>1597</v>
      </c>
      <c r="AU10" s="36">
        <f t="shared" si="18"/>
        <v>121</v>
      </c>
      <c r="AV10" s="222">
        <v>2.5</v>
      </c>
      <c r="AW10" s="36">
        <f t="shared" si="19"/>
        <v>150</v>
      </c>
      <c r="AX10" s="36">
        <f t="shared" si="20"/>
        <v>1870.5</v>
      </c>
      <c r="AY10" s="36">
        <f t="shared" si="24"/>
        <v>14208</v>
      </c>
      <c r="BA10" s="8" t="s">
        <v>256</v>
      </c>
      <c r="BB10" s="201" t="s">
        <v>259</v>
      </c>
      <c r="BC10" s="203" t="s">
        <v>260</v>
      </c>
      <c r="BD10" s="16">
        <f t="shared" si="21"/>
        <v>14208</v>
      </c>
      <c r="BE10" s="43"/>
      <c r="BF10" s="40">
        <f t="shared" si="22"/>
        <v>14208</v>
      </c>
      <c r="BG10" s="70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</row>
    <row r="11" spans="1:77" s="2" customFormat="1" ht="15.75">
      <c r="A11" s="36">
        <v>7</v>
      </c>
      <c r="B11" s="9"/>
      <c r="C11" s="199" t="s">
        <v>140</v>
      </c>
      <c r="D11" s="202" t="s">
        <v>141</v>
      </c>
      <c r="E11" s="8" t="s">
        <v>261</v>
      </c>
      <c r="F11" s="8" t="s">
        <v>120</v>
      </c>
      <c r="G11" s="268" t="s">
        <v>262</v>
      </c>
      <c r="H11" s="267" t="s">
        <v>263</v>
      </c>
      <c r="I11" s="213">
        <v>45887</v>
      </c>
      <c r="J11" s="16" t="s">
        <v>229</v>
      </c>
      <c r="K11" s="36" t="s">
        <v>230</v>
      </c>
      <c r="L11" s="36" t="s">
        <v>231</v>
      </c>
      <c r="M11" s="16" t="s">
        <v>4</v>
      </c>
      <c r="N11" s="16" t="s">
        <v>232</v>
      </c>
      <c r="O11" s="214">
        <v>46054</v>
      </c>
      <c r="P11" s="36">
        <v>26</v>
      </c>
      <c r="Q11" s="206">
        <v>27</v>
      </c>
      <c r="R11" s="36">
        <v>0</v>
      </c>
      <c r="S11" s="36">
        <v>12813</v>
      </c>
      <c r="T11" s="36">
        <v>0</v>
      </c>
      <c r="U11" s="36">
        <f t="shared" si="0"/>
        <v>12813</v>
      </c>
      <c r="V11" s="36">
        <v>0</v>
      </c>
      <c r="W11" s="36">
        <v>0</v>
      </c>
      <c r="X11" s="36">
        <v>0</v>
      </c>
      <c r="Y11" s="16">
        <v>1602</v>
      </c>
      <c r="Z11" s="16">
        <v>1067</v>
      </c>
      <c r="AA11" s="16">
        <f t="shared" si="1"/>
        <v>15482</v>
      </c>
      <c r="AB11" s="36">
        <f t="shared" si="2"/>
        <v>13306</v>
      </c>
      <c r="AC11" s="36">
        <f t="shared" si="3"/>
        <v>0</v>
      </c>
      <c r="AD11" s="36">
        <f t="shared" si="4"/>
        <v>13306</v>
      </c>
      <c r="AE11" s="36">
        <f t="shared" si="5"/>
        <v>0</v>
      </c>
      <c r="AF11" s="36">
        <f t="shared" si="6"/>
        <v>0</v>
      </c>
      <c r="AG11" s="36">
        <f t="shared" si="7"/>
        <v>0</v>
      </c>
      <c r="AH11" s="36">
        <f t="shared" si="8"/>
        <v>1664</v>
      </c>
      <c r="AI11" s="36">
        <f t="shared" si="9"/>
        <v>0</v>
      </c>
      <c r="AJ11" s="36">
        <f t="shared" si="10"/>
        <v>1108</v>
      </c>
      <c r="AK11" s="36">
        <f t="shared" si="11"/>
        <v>16078</v>
      </c>
      <c r="AL11" s="203">
        <f t="shared" si="23"/>
        <v>13306</v>
      </c>
      <c r="AM11" s="36">
        <f t="shared" si="12"/>
        <v>1730</v>
      </c>
      <c r="AN11" s="17">
        <f t="shared" si="13"/>
        <v>522.53499999999997</v>
      </c>
      <c r="AO11" s="36">
        <v>5.83</v>
      </c>
      <c r="AP11" s="17">
        <f t="shared" si="14"/>
        <v>2258.3649999999998</v>
      </c>
      <c r="AQ11" s="17">
        <f t="shared" si="15"/>
        <v>18336.365000000002</v>
      </c>
      <c r="AR11" s="36"/>
      <c r="AS11" s="17">
        <f t="shared" si="16"/>
        <v>18336.365000000002</v>
      </c>
      <c r="AT11" s="36">
        <f t="shared" si="17"/>
        <v>1597</v>
      </c>
      <c r="AU11" s="36">
        <f t="shared" si="18"/>
        <v>121</v>
      </c>
      <c r="AV11" s="222">
        <v>2.5</v>
      </c>
      <c r="AW11" s="36">
        <f t="shared" si="19"/>
        <v>150</v>
      </c>
      <c r="AX11" s="36">
        <f t="shared" si="20"/>
        <v>1870.5</v>
      </c>
      <c r="AY11" s="36">
        <f t="shared" si="24"/>
        <v>14208</v>
      </c>
      <c r="BA11" s="8" t="s">
        <v>261</v>
      </c>
      <c r="BB11" s="201" t="s">
        <v>264</v>
      </c>
      <c r="BC11" s="203" t="s">
        <v>244</v>
      </c>
      <c r="BD11" s="16">
        <f t="shared" si="21"/>
        <v>14208</v>
      </c>
      <c r="BE11" s="43"/>
      <c r="BF11" s="40">
        <f t="shared" si="22"/>
        <v>14208</v>
      </c>
      <c r="BG11" s="70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</row>
    <row r="12" spans="1:77" s="2" customFormat="1" ht="15.75">
      <c r="A12" s="36">
        <v>8</v>
      </c>
      <c r="B12" s="9"/>
      <c r="C12" s="199" t="s">
        <v>142</v>
      </c>
      <c r="D12" s="200" t="s">
        <v>143</v>
      </c>
      <c r="E12" s="8" t="s">
        <v>265</v>
      </c>
      <c r="F12" s="8" t="s">
        <v>120</v>
      </c>
      <c r="G12" s="268" t="s">
        <v>266</v>
      </c>
      <c r="H12" s="267" t="s">
        <v>267</v>
      </c>
      <c r="I12" s="213">
        <v>45895</v>
      </c>
      <c r="J12" s="16" t="s">
        <v>229</v>
      </c>
      <c r="K12" s="36" t="s">
        <v>230</v>
      </c>
      <c r="L12" s="36" t="s">
        <v>231</v>
      </c>
      <c r="M12" s="16" t="s">
        <v>4</v>
      </c>
      <c r="N12" s="16" t="s">
        <v>232</v>
      </c>
      <c r="O12" s="214">
        <v>46054</v>
      </c>
      <c r="P12" s="36">
        <v>26</v>
      </c>
      <c r="Q12" s="206">
        <v>20</v>
      </c>
      <c r="R12" s="36">
        <v>0</v>
      </c>
      <c r="S12" s="36">
        <v>12813</v>
      </c>
      <c r="T12" s="36">
        <v>0</v>
      </c>
      <c r="U12" s="36">
        <f t="shared" si="0"/>
        <v>12813</v>
      </c>
      <c r="V12" s="36">
        <v>0</v>
      </c>
      <c r="W12" s="36">
        <v>0</v>
      </c>
      <c r="X12" s="36">
        <v>0</v>
      </c>
      <c r="Y12" s="16">
        <v>1602</v>
      </c>
      <c r="Z12" s="16">
        <v>1067</v>
      </c>
      <c r="AA12" s="16">
        <f t="shared" si="1"/>
        <v>15482</v>
      </c>
      <c r="AB12" s="36">
        <f t="shared" si="2"/>
        <v>9856</v>
      </c>
      <c r="AC12" s="36">
        <f t="shared" si="3"/>
        <v>0</v>
      </c>
      <c r="AD12" s="36">
        <f t="shared" si="4"/>
        <v>9856</v>
      </c>
      <c r="AE12" s="36">
        <f t="shared" si="5"/>
        <v>0</v>
      </c>
      <c r="AF12" s="36">
        <f t="shared" si="6"/>
        <v>0</v>
      </c>
      <c r="AG12" s="36">
        <f t="shared" si="7"/>
        <v>0</v>
      </c>
      <c r="AH12" s="36">
        <f t="shared" si="8"/>
        <v>1232</v>
      </c>
      <c r="AI12" s="36">
        <f t="shared" si="9"/>
        <v>0</v>
      </c>
      <c r="AJ12" s="36">
        <f t="shared" si="10"/>
        <v>821</v>
      </c>
      <c r="AK12" s="36">
        <f t="shared" si="11"/>
        <v>11909</v>
      </c>
      <c r="AL12" s="203">
        <f t="shared" si="23"/>
        <v>9856</v>
      </c>
      <c r="AM12" s="36">
        <f t="shared" si="12"/>
        <v>1281</v>
      </c>
      <c r="AN12" s="17">
        <f t="shared" si="13"/>
        <v>387.04250000000002</v>
      </c>
      <c r="AO12" s="36">
        <v>5.83</v>
      </c>
      <c r="AP12" s="17">
        <f t="shared" si="14"/>
        <v>1673.8724999999999</v>
      </c>
      <c r="AQ12" s="17">
        <f t="shared" si="15"/>
        <v>13582.872499999999</v>
      </c>
      <c r="AR12" s="36"/>
      <c r="AS12" s="17">
        <f t="shared" si="16"/>
        <v>13582.872499999999</v>
      </c>
      <c r="AT12" s="36">
        <f t="shared" si="17"/>
        <v>1183</v>
      </c>
      <c r="AU12" s="36">
        <f t="shared" si="18"/>
        <v>90</v>
      </c>
      <c r="AV12" s="222">
        <v>2.5</v>
      </c>
      <c r="AW12" s="36">
        <f t="shared" si="19"/>
        <v>0</v>
      </c>
      <c r="AX12" s="36">
        <f t="shared" si="20"/>
        <v>1275.5</v>
      </c>
      <c r="AY12" s="36">
        <f t="shared" si="24"/>
        <v>10634</v>
      </c>
      <c r="BA12" s="8" t="s">
        <v>265</v>
      </c>
      <c r="BB12" s="201" t="s">
        <v>268</v>
      </c>
      <c r="BC12" s="203" t="s">
        <v>269</v>
      </c>
      <c r="BD12" s="16">
        <f t="shared" si="21"/>
        <v>10634</v>
      </c>
      <c r="BE12" s="43"/>
      <c r="BF12" s="40">
        <f t="shared" si="22"/>
        <v>10634</v>
      </c>
      <c r="BG12" s="70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</row>
    <row r="13" spans="1:77" s="2" customFormat="1" ht="15.75">
      <c r="A13" s="36">
        <v>9</v>
      </c>
      <c r="B13" s="9"/>
      <c r="C13" s="199" t="s">
        <v>145</v>
      </c>
      <c r="D13" s="204" t="s">
        <v>270</v>
      </c>
      <c r="E13" s="204" t="s">
        <v>270</v>
      </c>
      <c r="F13" s="8" t="s">
        <v>120</v>
      </c>
      <c r="G13" s="268" t="s">
        <v>271</v>
      </c>
      <c r="H13" s="201" t="s">
        <v>272</v>
      </c>
      <c r="I13" s="215" t="s">
        <v>147</v>
      </c>
      <c r="J13" s="16" t="s">
        <v>229</v>
      </c>
      <c r="K13" s="36" t="s">
        <v>230</v>
      </c>
      <c r="L13" s="36" t="s">
        <v>231</v>
      </c>
      <c r="M13" s="16" t="s">
        <v>4</v>
      </c>
      <c r="N13" s="16" t="s">
        <v>232</v>
      </c>
      <c r="O13" s="214">
        <v>46054</v>
      </c>
      <c r="P13" s="36">
        <v>26</v>
      </c>
      <c r="Q13" s="206">
        <v>28</v>
      </c>
      <c r="R13" s="36">
        <v>0</v>
      </c>
      <c r="S13" s="36">
        <v>12813</v>
      </c>
      <c r="T13" s="36">
        <v>0</v>
      </c>
      <c r="U13" s="36">
        <f t="shared" si="0"/>
        <v>12813</v>
      </c>
      <c r="V13" s="36">
        <v>0</v>
      </c>
      <c r="W13" s="36">
        <v>0</v>
      </c>
      <c r="X13" s="36">
        <v>0</v>
      </c>
      <c r="Y13" s="16">
        <v>1602</v>
      </c>
      <c r="Z13" s="16">
        <v>1067</v>
      </c>
      <c r="AA13" s="16">
        <f t="shared" si="1"/>
        <v>15482</v>
      </c>
      <c r="AB13" s="36">
        <f t="shared" si="2"/>
        <v>13799</v>
      </c>
      <c r="AC13" s="36">
        <f t="shared" si="3"/>
        <v>0</v>
      </c>
      <c r="AD13" s="36">
        <f t="shared" si="4"/>
        <v>13799</v>
      </c>
      <c r="AE13" s="36">
        <f t="shared" si="5"/>
        <v>0</v>
      </c>
      <c r="AF13" s="36">
        <f t="shared" si="6"/>
        <v>0</v>
      </c>
      <c r="AG13" s="36">
        <f t="shared" si="7"/>
        <v>0</v>
      </c>
      <c r="AH13" s="36">
        <f t="shared" si="8"/>
        <v>1725</v>
      </c>
      <c r="AI13" s="36">
        <f t="shared" si="9"/>
        <v>0</v>
      </c>
      <c r="AJ13" s="36">
        <f t="shared" si="10"/>
        <v>1149</v>
      </c>
      <c r="AK13" s="36">
        <f t="shared" si="11"/>
        <v>16673</v>
      </c>
      <c r="AL13" s="203">
        <f t="shared" si="23"/>
        <v>13799</v>
      </c>
      <c r="AM13" s="36">
        <f t="shared" si="12"/>
        <v>1794</v>
      </c>
      <c r="AN13" s="17">
        <f t="shared" si="13"/>
        <v>541.87249999999995</v>
      </c>
      <c r="AO13" s="36">
        <v>5.83</v>
      </c>
      <c r="AP13" s="17">
        <f t="shared" si="14"/>
        <v>2341.7024999999999</v>
      </c>
      <c r="AQ13" s="17">
        <f t="shared" si="15"/>
        <v>19014.702499999999</v>
      </c>
      <c r="AR13" s="36"/>
      <c r="AS13" s="17">
        <f t="shared" si="16"/>
        <v>19014.702499999999</v>
      </c>
      <c r="AT13" s="36">
        <f t="shared" si="17"/>
        <v>1656</v>
      </c>
      <c r="AU13" s="36">
        <f t="shared" si="18"/>
        <v>126</v>
      </c>
      <c r="AV13" s="222">
        <v>2.5</v>
      </c>
      <c r="AW13" s="36">
        <f t="shared" si="19"/>
        <v>150</v>
      </c>
      <c r="AX13" s="36">
        <f t="shared" si="20"/>
        <v>1934.5</v>
      </c>
      <c r="AY13" s="36">
        <f t="shared" si="24"/>
        <v>14739</v>
      </c>
      <c r="BA13" s="204" t="s">
        <v>270</v>
      </c>
      <c r="BB13" s="201" t="s">
        <v>273</v>
      </c>
      <c r="BC13" s="203" t="s">
        <v>274</v>
      </c>
      <c r="BD13" s="16">
        <f t="shared" si="21"/>
        <v>14739</v>
      </c>
      <c r="BE13" s="43"/>
      <c r="BF13" s="40">
        <f t="shared" si="22"/>
        <v>14739</v>
      </c>
      <c r="BG13" s="70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</row>
    <row r="14" spans="1:77" s="2" customFormat="1" ht="15.75">
      <c r="A14" s="36">
        <v>10</v>
      </c>
      <c r="B14" s="9"/>
      <c r="C14" s="199" t="s">
        <v>148</v>
      </c>
      <c r="D14" s="202" t="s">
        <v>149</v>
      </c>
      <c r="E14" s="175" t="s">
        <v>275</v>
      </c>
      <c r="F14" s="8" t="s">
        <v>130</v>
      </c>
      <c r="G14" s="268" t="s">
        <v>276</v>
      </c>
      <c r="H14" s="267" t="s">
        <v>277</v>
      </c>
      <c r="I14" s="213">
        <v>45884</v>
      </c>
      <c r="J14" s="16" t="s">
        <v>229</v>
      </c>
      <c r="K14" s="36" t="s">
        <v>230</v>
      </c>
      <c r="L14" s="36" t="s">
        <v>231</v>
      </c>
      <c r="M14" s="16" t="s">
        <v>4</v>
      </c>
      <c r="N14" s="16" t="s">
        <v>232</v>
      </c>
      <c r="O14" s="214">
        <v>46054</v>
      </c>
      <c r="P14" s="36">
        <v>26</v>
      </c>
      <c r="Q14" s="206">
        <v>25</v>
      </c>
      <c r="R14" s="36">
        <v>0</v>
      </c>
      <c r="S14" s="36">
        <v>12813</v>
      </c>
      <c r="T14" s="36">
        <v>0</v>
      </c>
      <c r="U14" s="36">
        <f t="shared" si="0"/>
        <v>12813</v>
      </c>
      <c r="V14" s="36">
        <v>0</v>
      </c>
      <c r="W14" s="36">
        <v>0</v>
      </c>
      <c r="X14" s="36">
        <v>0</v>
      </c>
      <c r="Y14" s="16">
        <v>1602</v>
      </c>
      <c r="Z14" s="16">
        <v>1067</v>
      </c>
      <c r="AA14" s="16">
        <f t="shared" si="1"/>
        <v>15482</v>
      </c>
      <c r="AB14" s="36">
        <f t="shared" si="2"/>
        <v>12320</v>
      </c>
      <c r="AC14" s="36">
        <f t="shared" si="3"/>
        <v>0</v>
      </c>
      <c r="AD14" s="36">
        <f t="shared" si="4"/>
        <v>12320</v>
      </c>
      <c r="AE14" s="36">
        <f t="shared" si="5"/>
        <v>0</v>
      </c>
      <c r="AF14" s="36">
        <f t="shared" si="6"/>
        <v>0</v>
      </c>
      <c r="AG14" s="36">
        <f t="shared" si="7"/>
        <v>0</v>
      </c>
      <c r="AH14" s="36">
        <f t="shared" si="8"/>
        <v>1540</v>
      </c>
      <c r="AI14" s="36">
        <f t="shared" si="9"/>
        <v>0</v>
      </c>
      <c r="AJ14" s="36">
        <f t="shared" si="10"/>
        <v>1026</v>
      </c>
      <c r="AK14" s="36">
        <f t="shared" si="11"/>
        <v>14886</v>
      </c>
      <c r="AL14" s="203">
        <f t="shared" si="23"/>
        <v>12320</v>
      </c>
      <c r="AM14" s="36">
        <f t="shared" si="12"/>
        <v>1602</v>
      </c>
      <c r="AN14" s="17">
        <f t="shared" si="13"/>
        <v>483.79500000000002</v>
      </c>
      <c r="AO14" s="36">
        <v>5.83</v>
      </c>
      <c r="AP14" s="17">
        <f t="shared" si="14"/>
        <v>2091.625</v>
      </c>
      <c r="AQ14" s="17">
        <f t="shared" si="15"/>
        <v>16977.625</v>
      </c>
      <c r="AR14" s="36"/>
      <c r="AS14" s="17">
        <f t="shared" si="16"/>
        <v>16977.625</v>
      </c>
      <c r="AT14" s="36">
        <f t="shared" si="17"/>
        <v>1478</v>
      </c>
      <c r="AU14" s="36">
        <f t="shared" si="18"/>
        <v>112</v>
      </c>
      <c r="AV14" s="222">
        <v>2.5</v>
      </c>
      <c r="AW14" s="36">
        <f t="shared" si="19"/>
        <v>0</v>
      </c>
      <c r="AX14" s="36">
        <f t="shared" si="20"/>
        <v>1592.5</v>
      </c>
      <c r="AY14" s="36">
        <f t="shared" si="24"/>
        <v>13294</v>
      </c>
      <c r="BA14" s="202" t="s">
        <v>149</v>
      </c>
      <c r="BB14" s="201" t="s">
        <v>278</v>
      </c>
      <c r="BC14" s="203" t="s">
        <v>244</v>
      </c>
      <c r="BD14" s="16">
        <f t="shared" si="21"/>
        <v>13294</v>
      </c>
      <c r="BE14" s="43"/>
      <c r="BF14" s="40">
        <f t="shared" si="22"/>
        <v>13294</v>
      </c>
      <c r="BG14" s="70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</row>
    <row r="15" spans="1:77" s="2" customFormat="1" ht="15.75">
      <c r="A15" s="36">
        <v>11</v>
      </c>
      <c r="B15" s="9"/>
      <c r="C15" s="199" t="s">
        <v>151</v>
      </c>
      <c r="D15" s="200" t="s">
        <v>152</v>
      </c>
      <c r="E15" s="8" t="s">
        <v>279</v>
      </c>
      <c r="F15" s="8" t="s">
        <v>130</v>
      </c>
      <c r="G15" s="268" t="s">
        <v>280</v>
      </c>
      <c r="H15" s="267" t="s">
        <v>281</v>
      </c>
      <c r="I15" s="213">
        <v>45890</v>
      </c>
      <c r="J15" s="16" t="s">
        <v>229</v>
      </c>
      <c r="K15" s="36" t="s">
        <v>230</v>
      </c>
      <c r="L15" s="36" t="s">
        <v>231</v>
      </c>
      <c r="M15" s="16" t="s">
        <v>4</v>
      </c>
      <c r="N15" s="16" t="s">
        <v>232</v>
      </c>
      <c r="O15" s="214">
        <v>46054</v>
      </c>
      <c r="P15" s="36">
        <v>26</v>
      </c>
      <c r="Q15" s="206">
        <v>27</v>
      </c>
      <c r="R15" s="36">
        <v>0</v>
      </c>
      <c r="S15" s="36">
        <v>12813</v>
      </c>
      <c r="T15" s="36">
        <v>0</v>
      </c>
      <c r="U15" s="36">
        <f t="shared" si="0"/>
        <v>12813</v>
      </c>
      <c r="V15" s="36">
        <v>0</v>
      </c>
      <c r="W15" s="36">
        <v>0</v>
      </c>
      <c r="X15" s="36">
        <v>0</v>
      </c>
      <c r="Y15" s="16">
        <v>1602</v>
      </c>
      <c r="Z15" s="16">
        <v>1067</v>
      </c>
      <c r="AA15" s="16">
        <f t="shared" si="1"/>
        <v>15482</v>
      </c>
      <c r="AB15" s="36">
        <f t="shared" si="2"/>
        <v>13306</v>
      </c>
      <c r="AC15" s="36">
        <f t="shared" si="3"/>
        <v>0</v>
      </c>
      <c r="AD15" s="36">
        <f t="shared" si="4"/>
        <v>13306</v>
      </c>
      <c r="AE15" s="36">
        <f t="shared" si="5"/>
        <v>0</v>
      </c>
      <c r="AF15" s="36">
        <f t="shared" si="6"/>
        <v>0</v>
      </c>
      <c r="AG15" s="36">
        <f t="shared" si="7"/>
        <v>0</v>
      </c>
      <c r="AH15" s="36">
        <f t="shared" si="8"/>
        <v>1664</v>
      </c>
      <c r="AI15" s="36">
        <f t="shared" si="9"/>
        <v>0</v>
      </c>
      <c r="AJ15" s="36">
        <f t="shared" si="10"/>
        <v>1108</v>
      </c>
      <c r="AK15" s="36">
        <f t="shared" si="11"/>
        <v>16078</v>
      </c>
      <c r="AL15" s="203">
        <f t="shared" si="23"/>
        <v>13306</v>
      </c>
      <c r="AM15" s="36">
        <f t="shared" si="12"/>
        <v>1730</v>
      </c>
      <c r="AN15" s="17">
        <f t="shared" si="13"/>
        <v>522.53499999999997</v>
      </c>
      <c r="AO15" s="36">
        <v>5.83</v>
      </c>
      <c r="AP15" s="17">
        <f t="shared" si="14"/>
        <v>2258.3649999999998</v>
      </c>
      <c r="AQ15" s="17">
        <f t="shared" si="15"/>
        <v>18336.365000000002</v>
      </c>
      <c r="AR15" s="36"/>
      <c r="AS15" s="17">
        <f t="shared" si="16"/>
        <v>18336.365000000002</v>
      </c>
      <c r="AT15" s="36">
        <f t="shared" si="17"/>
        <v>1597</v>
      </c>
      <c r="AU15" s="36">
        <f t="shared" si="18"/>
        <v>121</v>
      </c>
      <c r="AV15" s="222">
        <v>2.5</v>
      </c>
      <c r="AW15" s="36">
        <f t="shared" si="19"/>
        <v>150</v>
      </c>
      <c r="AX15" s="36">
        <f t="shared" si="20"/>
        <v>1870.5</v>
      </c>
      <c r="AY15" s="36">
        <f t="shared" si="24"/>
        <v>14208</v>
      </c>
      <c r="BA15" s="8" t="s">
        <v>279</v>
      </c>
      <c r="BB15" s="201" t="s">
        <v>282</v>
      </c>
      <c r="BC15" s="203" t="s">
        <v>283</v>
      </c>
      <c r="BD15" s="16">
        <f t="shared" si="21"/>
        <v>14208</v>
      </c>
      <c r="BE15" s="43"/>
      <c r="BF15" s="40">
        <f t="shared" si="22"/>
        <v>14208</v>
      </c>
      <c r="BG15" s="70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</row>
    <row r="16" spans="1:77" s="2" customFormat="1" ht="15.75">
      <c r="A16" s="36">
        <v>12</v>
      </c>
      <c r="B16" s="9"/>
      <c r="C16" s="199" t="s">
        <v>154</v>
      </c>
      <c r="D16" s="202" t="s">
        <v>155</v>
      </c>
      <c r="E16" s="8" t="s">
        <v>284</v>
      </c>
      <c r="F16" s="8" t="s">
        <v>130</v>
      </c>
      <c r="G16" s="268" t="s">
        <v>285</v>
      </c>
      <c r="H16" s="267" t="s">
        <v>286</v>
      </c>
      <c r="I16" s="213">
        <v>45884</v>
      </c>
      <c r="J16" s="16" t="s">
        <v>229</v>
      </c>
      <c r="K16" s="36" t="s">
        <v>230</v>
      </c>
      <c r="L16" s="36" t="s">
        <v>231</v>
      </c>
      <c r="M16" s="16" t="s">
        <v>4</v>
      </c>
      <c r="N16" s="16" t="s">
        <v>232</v>
      </c>
      <c r="O16" s="214">
        <v>46054</v>
      </c>
      <c r="P16" s="36">
        <v>26</v>
      </c>
      <c r="Q16" s="206">
        <v>27</v>
      </c>
      <c r="R16" s="36">
        <v>0</v>
      </c>
      <c r="S16" s="36">
        <v>12813</v>
      </c>
      <c r="T16" s="36">
        <v>0</v>
      </c>
      <c r="U16" s="36">
        <f t="shared" si="0"/>
        <v>12813</v>
      </c>
      <c r="V16" s="36">
        <v>0</v>
      </c>
      <c r="W16" s="36">
        <v>0</v>
      </c>
      <c r="X16" s="36">
        <v>0</v>
      </c>
      <c r="Y16" s="16">
        <v>1602</v>
      </c>
      <c r="Z16" s="16">
        <v>1067</v>
      </c>
      <c r="AA16" s="16">
        <f t="shared" si="1"/>
        <v>15482</v>
      </c>
      <c r="AB16" s="36">
        <f t="shared" si="2"/>
        <v>13306</v>
      </c>
      <c r="AC16" s="36">
        <f t="shared" si="3"/>
        <v>0</v>
      </c>
      <c r="AD16" s="36">
        <f t="shared" si="4"/>
        <v>13306</v>
      </c>
      <c r="AE16" s="36">
        <f t="shared" si="5"/>
        <v>0</v>
      </c>
      <c r="AF16" s="36">
        <f t="shared" si="6"/>
        <v>0</v>
      </c>
      <c r="AG16" s="36">
        <f t="shared" si="7"/>
        <v>0</v>
      </c>
      <c r="AH16" s="36">
        <f t="shared" si="8"/>
        <v>1664</v>
      </c>
      <c r="AI16" s="36">
        <f t="shared" si="9"/>
        <v>0</v>
      </c>
      <c r="AJ16" s="36">
        <f t="shared" si="10"/>
        <v>1108</v>
      </c>
      <c r="AK16" s="36">
        <f t="shared" si="11"/>
        <v>16078</v>
      </c>
      <c r="AL16" s="203">
        <f t="shared" si="23"/>
        <v>13306</v>
      </c>
      <c r="AM16" s="36">
        <f t="shared" si="12"/>
        <v>1730</v>
      </c>
      <c r="AN16" s="17">
        <f t="shared" si="13"/>
        <v>522.53499999999997</v>
      </c>
      <c r="AO16" s="36">
        <v>5.83</v>
      </c>
      <c r="AP16" s="17">
        <f t="shared" si="14"/>
        <v>2258.3649999999998</v>
      </c>
      <c r="AQ16" s="17">
        <f t="shared" si="15"/>
        <v>18336.365000000002</v>
      </c>
      <c r="AR16" s="36"/>
      <c r="AS16" s="17">
        <f t="shared" si="16"/>
        <v>18336.365000000002</v>
      </c>
      <c r="AT16" s="36">
        <f t="shared" si="17"/>
        <v>1597</v>
      </c>
      <c r="AU16" s="36">
        <f t="shared" si="18"/>
        <v>121</v>
      </c>
      <c r="AV16" s="222">
        <v>2.5</v>
      </c>
      <c r="AW16" s="36">
        <f t="shared" si="19"/>
        <v>150</v>
      </c>
      <c r="AX16" s="36">
        <f t="shared" si="20"/>
        <v>1870.5</v>
      </c>
      <c r="AY16" s="36">
        <f t="shared" si="24"/>
        <v>14208</v>
      </c>
      <c r="BA16" s="8" t="s">
        <v>284</v>
      </c>
      <c r="BB16" s="201" t="s">
        <v>287</v>
      </c>
      <c r="BC16" s="203" t="s">
        <v>288</v>
      </c>
      <c r="BD16" s="16">
        <f t="shared" si="21"/>
        <v>14208</v>
      </c>
      <c r="BE16" s="43"/>
      <c r="BF16" s="40">
        <f t="shared" si="22"/>
        <v>14208</v>
      </c>
      <c r="BG16" s="70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</row>
    <row r="17" spans="1:77" s="2" customFormat="1" ht="15.75">
      <c r="A17" s="36">
        <v>13</v>
      </c>
      <c r="B17" s="9"/>
      <c r="C17" s="199" t="s">
        <v>156</v>
      </c>
      <c r="D17" s="204" t="s">
        <v>289</v>
      </c>
      <c r="E17" s="204" t="s">
        <v>289</v>
      </c>
      <c r="F17" s="8" t="s">
        <v>130</v>
      </c>
      <c r="G17" s="203" t="s">
        <v>290</v>
      </c>
      <c r="H17" s="267" t="s">
        <v>291</v>
      </c>
      <c r="I17" s="215" t="s">
        <v>158</v>
      </c>
      <c r="J17" s="16" t="s">
        <v>229</v>
      </c>
      <c r="K17" s="36" t="s">
        <v>230</v>
      </c>
      <c r="L17" s="36" t="s">
        <v>231</v>
      </c>
      <c r="M17" s="16" t="s">
        <v>4</v>
      </c>
      <c r="N17" s="16" t="s">
        <v>232</v>
      </c>
      <c r="O17" s="214">
        <v>46054</v>
      </c>
      <c r="P17" s="36">
        <v>26</v>
      </c>
      <c r="Q17" s="206">
        <v>26</v>
      </c>
      <c r="R17" s="36">
        <v>0</v>
      </c>
      <c r="S17" s="36">
        <v>12813</v>
      </c>
      <c r="T17" s="36">
        <v>0</v>
      </c>
      <c r="U17" s="36">
        <f t="shared" si="0"/>
        <v>12813</v>
      </c>
      <c r="V17" s="36">
        <v>0</v>
      </c>
      <c r="W17" s="36">
        <v>0</v>
      </c>
      <c r="X17" s="36">
        <v>0</v>
      </c>
      <c r="Y17" s="16">
        <v>1602</v>
      </c>
      <c r="Z17" s="16">
        <v>1067</v>
      </c>
      <c r="AA17" s="16">
        <f t="shared" si="1"/>
        <v>15482</v>
      </c>
      <c r="AB17" s="36">
        <f t="shared" si="2"/>
        <v>12813</v>
      </c>
      <c r="AC17" s="36">
        <f t="shared" si="3"/>
        <v>0</v>
      </c>
      <c r="AD17" s="36">
        <f t="shared" si="4"/>
        <v>12813</v>
      </c>
      <c r="AE17" s="36">
        <f t="shared" si="5"/>
        <v>0</v>
      </c>
      <c r="AF17" s="36">
        <f t="shared" si="6"/>
        <v>0</v>
      </c>
      <c r="AG17" s="36">
        <f t="shared" si="7"/>
        <v>0</v>
      </c>
      <c r="AH17" s="36">
        <f t="shared" si="8"/>
        <v>1602</v>
      </c>
      <c r="AI17" s="36">
        <f t="shared" si="9"/>
        <v>0</v>
      </c>
      <c r="AJ17" s="36">
        <f t="shared" si="10"/>
        <v>1067</v>
      </c>
      <c r="AK17" s="36">
        <f t="shared" si="11"/>
        <v>15482</v>
      </c>
      <c r="AL17" s="203">
        <f t="shared" si="23"/>
        <v>12813</v>
      </c>
      <c r="AM17" s="36">
        <f t="shared" si="12"/>
        <v>1666</v>
      </c>
      <c r="AN17" s="17">
        <f t="shared" si="13"/>
        <v>503.16500000000002</v>
      </c>
      <c r="AO17" s="36">
        <v>5.83</v>
      </c>
      <c r="AP17" s="17">
        <f t="shared" si="14"/>
        <v>2174.9949999999999</v>
      </c>
      <c r="AQ17" s="17">
        <f t="shared" si="15"/>
        <v>17656.994999999999</v>
      </c>
      <c r="AR17" s="36"/>
      <c r="AS17" s="17">
        <f t="shared" si="16"/>
        <v>17656.994999999999</v>
      </c>
      <c r="AT17" s="36">
        <f t="shared" si="17"/>
        <v>1538</v>
      </c>
      <c r="AU17" s="36">
        <f t="shared" si="18"/>
        <v>117</v>
      </c>
      <c r="AV17" s="222">
        <v>2.5</v>
      </c>
      <c r="AW17" s="36">
        <f t="shared" si="19"/>
        <v>150</v>
      </c>
      <c r="AX17" s="36">
        <f t="shared" si="20"/>
        <v>1807.5</v>
      </c>
      <c r="AY17" s="36">
        <f t="shared" si="24"/>
        <v>13675</v>
      </c>
      <c r="BA17" s="204" t="s">
        <v>289</v>
      </c>
      <c r="BB17" s="227" t="s">
        <v>292</v>
      </c>
      <c r="BC17" s="228" t="s">
        <v>293</v>
      </c>
      <c r="BD17" s="16">
        <f t="shared" si="21"/>
        <v>13675</v>
      </c>
      <c r="BE17" s="43"/>
      <c r="BF17" s="40">
        <f t="shared" si="22"/>
        <v>13675</v>
      </c>
      <c r="BG17" s="70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</row>
    <row r="18" spans="1:77" s="2" customFormat="1" ht="18" customHeight="1">
      <c r="A18" s="36">
        <v>14</v>
      </c>
      <c r="B18" s="9"/>
      <c r="C18" s="199" t="s">
        <v>159</v>
      </c>
      <c r="D18" s="204" t="s">
        <v>294</v>
      </c>
      <c r="E18" s="204" t="s">
        <v>294</v>
      </c>
      <c r="F18" s="8" t="s">
        <v>130</v>
      </c>
      <c r="G18" s="203" t="s">
        <v>295</v>
      </c>
      <c r="H18" s="201" t="s">
        <v>296</v>
      </c>
      <c r="I18" s="215" t="s">
        <v>158</v>
      </c>
      <c r="J18" s="16" t="s">
        <v>229</v>
      </c>
      <c r="K18" s="36" t="s">
        <v>230</v>
      </c>
      <c r="L18" s="36" t="s">
        <v>231</v>
      </c>
      <c r="M18" s="16" t="s">
        <v>4</v>
      </c>
      <c r="N18" s="16" t="s">
        <v>232</v>
      </c>
      <c r="O18" s="214">
        <v>46054</v>
      </c>
      <c r="P18" s="36">
        <v>26</v>
      </c>
      <c r="Q18" s="206">
        <v>27</v>
      </c>
      <c r="R18" s="36">
        <v>0</v>
      </c>
      <c r="S18" s="36">
        <v>12813</v>
      </c>
      <c r="T18" s="36">
        <v>0</v>
      </c>
      <c r="U18" s="36">
        <f t="shared" si="0"/>
        <v>12813</v>
      </c>
      <c r="V18" s="36">
        <v>0</v>
      </c>
      <c r="W18" s="36">
        <v>0</v>
      </c>
      <c r="X18" s="36">
        <v>0</v>
      </c>
      <c r="Y18" s="16">
        <v>1602</v>
      </c>
      <c r="Z18" s="16">
        <v>1067</v>
      </c>
      <c r="AA18" s="16">
        <f t="shared" si="1"/>
        <v>15482</v>
      </c>
      <c r="AB18" s="36">
        <f t="shared" si="2"/>
        <v>13306</v>
      </c>
      <c r="AC18" s="36">
        <f t="shared" si="3"/>
        <v>0</v>
      </c>
      <c r="AD18" s="36">
        <f t="shared" si="4"/>
        <v>13306</v>
      </c>
      <c r="AE18" s="36">
        <f t="shared" si="5"/>
        <v>0</v>
      </c>
      <c r="AF18" s="36">
        <f t="shared" si="6"/>
        <v>0</v>
      </c>
      <c r="AG18" s="36">
        <f t="shared" si="7"/>
        <v>0</v>
      </c>
      <c r="AH18" s="36">
        <f t="shared" si="8"/>
        <v>1664</v>
      </c>
      <c r="AI18" s="36">
        <f t="shared" si="9"/>
        <v>0</v>
      </c>
      <c r="AJ18" s="36">
        <f t="shared" si="10"/>
        <v>1108</v>
      </c>
      <c r="AK18" s="36">
        <f t="shared" si="11"/>
        <v>16078</v>
      </c>
      <c r="AL18" s="203">
        <f t="shared" si="23"/>
        <v>13306</v>
      </c>
      <c r="AM18" s="36">
        <f t="shared" si="12"/>
        <v>1730</v>
      </c>
      <c r="AN18" s="17">
        <f t="shared" si="13"/>
        <v>522.53499999999997</v>
      </c>
      <c r="AO18" s="36">
        <v>5.83</v>
      </c>
      <c r="AP18" s="17">
        <f t="shared" si="14"/>
        <v>2258.3649999999998</v>
      </c>
      <c r="AQ18" s="17">
        <f t="shared" si="15"/>
        <v>18336.365000000002</v>
      </c>
      <c r="AR18" s="36"/>
      <c r="AS18" s="17">
        <f t="shared" si="16"/>
        <v>18336.365000000002</v>
      </c>
      <c r="AT18" s="36">
        <f t="shared" si="17"/>
        <v>1597</v>
      </c>
      <c r="AU18" s="36">
        <f t="shared" si="18"/>
        <v>121</v>
      </c>
      <c r="AV18" s="222">
        <v>2.5</v>
      </c>
      <c r="AW18" s="36">
        <f t="shared" si="19"/>
        <v>150</v>
      </c>
      <c r="AX18" s="36">
        <f t="shared" si="20"/>
        <v>1870.5</v>
      </c>
      <c r="AY18" s="36">
        <f t="shared" si="24"/>
        <v>14208</v>
      </c>
      <c r="BA18" s="204" t="s">
        <v>294</v>
      </c>
      <c r="BB18" s="227" t="s">
        <v>297</v>
      </c>
      <c r="BC18" s="228" t="s">
        <v>293</v>
      </c>
      <c r="BD18" s="16">
        <f t="shared" si="21"/>
        <v>14208</v>
      </c>
      <c r="BE18" s="43"/>
      <c r="BF18" s="40">
        <f t="shared" si="22"/>
        <v>14208</v>
      </c>
      <c r="BG18" s="70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</row>
    <row r="19" spans="1:77" s="2" customFormat="1" ht="18" customHeight="1">
      <c r="A19" s="36">
        <v>15</v>
      </c>
      <c r="B19" s="9"/>
      <c r="C19" s="199" t="s">
        <v>161</v>
      </c>
      <c r="D19" s="204" t="s">
        <v>162</v>
      </c>
      <c r="E19" s="8" t="s">
        <v>298</v>
      </c>
      <c r="F19" s="205" t="s">
        <v>120</v>
      </c>
      <c r="G19" s="268" t="s">
        <v>299</v>
      </c>
      <c r="H19" s="267" t="s">
        <v>300</v>
      </c>
      <c r="I19" s="213">
        <v>45884</v>
      </c>
      <c r="J19" s="16" t="s">
        <v>229</v>
      </c>
      <c r="K19" s="36" t="s">
        <v>230</v>
      </c>
      <c r="L19" s="36" t="s">
        <v>231</v>
      </c>
      <c r="M19" s="16" t="s">
        <v>4</v>
      </c>
      <c r="N19" s="16" t="s">
        <v>232</v>
      </c>
      <c r="O19" s="214">
        <v>46054</v>
      </c>
      <c r="P19" s="36">
        <v>26</v>
      </c>
      <c r="Q19" s="206">
        <v>16</v>
      </c>
      <c r="R19" s="36">
        <v>0</v>
      </c>
      <c r="S19" s="36">
        <v>12813</v>
      </c>
      <c r="T19" s="36">
        <v>0</v>
      </c>
      <c r="U19" s="36">
        <f t="shared" ref="U19" si="25">S19+T19</f>
        <v>12813</v>
      </c>
      <c r="V19" s="36">
        <v>0</v>
      </c>
      <c r="W19" s="36">
        <v>0</v>
      </c>
      <c r="X19" s="36">
        <v>0</v>
      </c>
      <c r="Y19" s="16">
        <v>1602</v>
      </c>
      <c r="Z19" s="16">
        <v>1067</v>
      </c>
      <c r="AA19" s="16">
        <f t="shared" ref="AA19" si="26">SUM(U19:Z19)</f>
        <v>15482</v>
      </c>
      <c r="AB19" s="36">
        <f t="shared" ref="AB19" si="27">ROUND(S19/P19*Q19,0)</f>
        <v>7885</v>
      </c>
      <c r="AC19" s="36">
        <f t="shared" ref="AC19" si="28">ROUND(T19/P19*Q19,0)</f>
        <v>0</v>
      </c>
      <c r="AD19" s="36">
        <f t="shared" ref="AD19" si="29">AB19+AC19</f>
        <v>7885</v>
      </c>
      <c r="AE19" s="36">
        <f t="shared" ref="AE19" si="30">ROUND(V19/P19*Q19,0)</f>
        <v>0</v>
      </c>
      <c r="AF19" s="36">
        <f t="shared" ref="AF19" si="31">ROUND(W19/P19*Q19,0)</f>
        <v>0</v>
      </c>
      <c r="AG19" s="36">
        <f t="shared" ref="AG19" si="32">ROUND(X19/P19*Q19,0)</f>
        <v>0</v>
      </c>
      <c r="AH19" s="36">
        <f t="shared" ref="AH19" si="33">ROUND(Y19/P19*Q19,0)</f>
        <v>986</v>
      </c>
      <c r="AI19" s="36">
        <f t="shared" ref="AI19" si="34">ROUND((S19/26)/4*R19,0)</f>
        <v>0</v>
      </c>
      <c r="AJ19" s="36">
        <f t="shared" ref="AJ19" si="35">ROUND(Z19/P19*Q19,0)</f>
        <v>657</v>
      </c>
      <c r="AK19" s="36">
        <f t="shared" ref="AK19" si="36">ROUND(SUM(AD19:AJ19),0)</f>
        <v>9528</v>
      </c>
      <c r="AL19" s="203">
        <f t="shared" ref="AL19" si="37">IF(AB19&lt;15000,AB19,15000)</f>
        <v>7885</v>
      </c>
      <c r="AM19" s="36">
        <f t="shared" ref="AM19" si="38">ROUND(AL19*13%,0)</f>
        <v>1025</v>
      </c>
      <c r="AN19" s="17">
        <f t="shared" ref="AN19" si="39">IF(AA19&gt;=21000,0,AK19*3.25%)</f>
        <v>309.66000000000003</v>
      </c>
      <c r="AO19" s="36">
        <v>5.83</v>
      </c>
      <c r="AP19" s="17">
        <f t="shared" ref="AP19" si="40">SUM(AM19:AO19)</f>
        <v>1340.49</v>
      </c>
      <c r="AQ19" s="17">
        <f t="shared" ref="AQ19" si="41">AK19+AP19</f>
        <v>10868.49</v>
      </c>
      <c r="AR19" s="36"/>
      <c r="AS19" s="17">
        <f t="shared" ref="AS19" si="42">AQ19+AR19</f>
        <v>10868.49</v>
      </c>
      <c r="AT19" s="36">
        <f t="shared" ref="AT19" si="43">ROUND(AL19*12%,0)</f>
        <v>946</v>
      </c>
      <c r="AU19" s="36">
        <f t="shared" ref="AU19" si="44">IF(AA19&gt;21000,0,CEILING(AK19*0.75%,1))</f>
        <v>72</v>
      </c>
      <c r="AV19" s="222">
        <v>2.5</v>
      </c>
      <c r="AW19" s="36">
        <f t="shared" ref="AW19" si="45">IF(AK19&gt;20000,200,IF(AK19&gt;15000,150,0))</f>
        <v>0</v>
      </c>
      <c r="AX19" s="36">
        <f t="shared" ref="AX19" si="46">SUM(AT19:AW19)</f>
        <v>1020.5</v>
      </c>
      <c r="AY19" s="36">
        <f t="shared" ref="AY19" si="47">ROUND(AK19-AX19,0)</f>
        <v>8508</v>
      </c>
      <c r="BA19" s="8" t="s">
        <v>298</v>
      </c>
      <c r="BB19" s="201" t="s">
        <v>301</v>
      </c>
      <c r="BC19" s="203" t="s">
        <v>302</v>
      </c>
      <c r="BD19" s="16">
        <f t="shared" si="21"/>
        <v>8508</v>
      </c>
      <c r="BE19" s="43"/>
      <c r="BF19" s="40">
        <f t="shared" si="22"/>
        <v>8508</v>
      </c>
      <c r="BG19" s="70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</row>
    <row r="20" spans="1:77">
      <c r="A20" s="36"/>
      <c r="B20" s="9"/>
      <c r="C20" s="206"/>
      <c r="D20" s="207"/>
      <c r="E20" s="207"/>
      <c r="F20" s="11"/>
      <c r="G20" s="208"/>
      <c r="H20" s="206"/>
      <c r="I20" s="34"/>
      <c r="J20" s="16"/>
      <c r="K20" s="206"/>
      <c r="L20" s="206"/>
      <c r="M20" s="8"/>
      <c r="N20" s="8"/>
      <c r="O20" s="8"/>
      <c r="P20" s="206"/>
      <c r="Q20" s="217"/>
      <c r="R20" s="36"/>
      <c r="S20" s="206"/>
      <c r="T20" s="36"/>
      <c r="U20" s="36"/>
      <c r="V20" s="206"/>
      <c r="W20" s="206"/>
      <c r="X20" s="206"/>
      <c r="Y20" s="8"/>
      <c r="Z20" s="8"/>
      <c r="AA20" s="16"/>
      <c r="AB20" s="36"/>
      <c r="AC20" s="206"/>
      <c r="AD20" s="206"/>
      <c r="AE20" s="206"/>
      <c r="AF20" s="206"/>
      <c r="AG20" s="206"/>
      <c r="AH20" s="206"/>
      <c r="AI20" s="36"/>
      <c r="AJ20" s="206"/>
      <c r="AK20" s="36"/>
      <c r="AL20" s="206"/>
      <c r="AM20" s="206"/>
      <c r="AN20" s="17"/>
      <c r="AO20" s="36"/>
      <c r="AP20" s="17"/>
      <c r="AQ20" s="17"/>
      <c r="AR20" s="206"/>
      <c r="AS20" s="17"/>
      <c r="AT20" s="206"/>
      <c r="AU20" s="36"/>
      <c r="AV20" s="222"/>
      <c r="AW20" s="36"/>
      <c r="AX20" s="36"/>
      <c r="AY20" s="36"/>
      <c r="BA20" s="8"/>
      <c r="BB20" s="229"/>
      <c r="BC20" s="230"/>
      <c r="BD20" s="8"/>
      <c r="BE20" s="8"/>
      <c r="BF20" s="40"/>
      <c r="BG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</row>
    <row r="21" spans="1:77" s="96" customFormat="1" ht="15.75">
      <c r="A21" s="209"/>
      <c r="C21" s="209"/>
      <c r="G21" s="209"/>
      <c r="H21" s="209"/>
      <c r="K21" s="209"/>
      <c r="L21" s="209"/>
      <c r="P21" s="216">
        <f t="shared" ref="P21:AY21" si="48">SUM(P5:P20)</f>
        <v>390</v>
      </c>
      <c r="Q21" s="218">
        <f t="shared" si="48"/>
        <v>355</v>
      </c>
      <c r="R21" s="216">
        <f t="shared" si="48"/>
        <v>0</v>
      </c>
      <c r="S21" s="216">
        <f t="shared" si="48"/>
        <v>192195</v>
      </c>
      <c r="T21" s="216">
        <f t="shared" si="48"/>
        <v>0</v>
      </c>
      <c r="U21" s="216">
        <f t="shared" si="48"/>
        <v>192195</v>
      </c>
      <c r="V21" s="216">
        <f t="shared" si="48"/>
        <v>0</v>
      </c>
      <c r="W21" s="216">
        <f t="shared" si="48"/>
        <v>0</v>
      </c>
      <c r="X21" s="216">
        <f t="shared" si="48"/>
        <v>0</v>
      </c>
      <c r="Y21" s="220">
        <f t="shared" si="48"/>
        <v>24030</v>
      </c>
      <c r="Z21" s="220">
        <f t="shared" si="48"/>
        <v>16005</v>
      </c>
      <c r="AA21" s="220">
        <f t="shared" si="48"/>
        <v>232230</v>
      </c>
      <c r="AB21" s="216">
        <f t="shared" si="48"/>
        <v>174948</v>
      </c>
      <c r="AC21" s="216">
        <f t="shared" si="48"/>
        <v>0</v>
      </c>
      <c r="AD21" s="216">
        <f t="shared" si="48"/>
        <v>174948</v>
      </c>
      <c r="AE21" s="216">
        <f t="shared" si="48"/>
        <v>0</v>
      </c>
      <c r="AF21" s="216">
        <f t="shared" si="48"/>
        <v>0</v>
      </c>
      <c r="AG21" s="216">
        <f t="shared" si="48"/>
        <v>0</v>
      </c>
      <c r="AH21" s="216">
        <f t="shared" si="48"/>
        <v>21875</v>
      </c>
      <c r="AI21" s="216">
        <f t="shared" si="48"/>
        <v>0</v>
      </c>
      <c r="AJ21" s="216">
        <f t="shared" si="48"/>
        <v>14569</v>
      </c>
      <c r="AK21" s="216">
        <f t="shared" si="48"/>
        <v>211392</v>
      </c>
      <c r="AL21" s="216">
        <f t="shared" si="48"/>
        <v>174948</v>
      </c>
      <c r="AM21" s="216">
        <f t="shared" si="48"/>
        <v>22745</v>
      </c>
      <c r="AN21" s="216">
        <f t="shared" si="48"/>
        <v>6870.24</v>
      </c>
      <c r="AO21" s="216">
        <f t="shared" si="48"/>
        <v>87.45</v>
      </c>
      <c r="AP21" s="216">
        <f t="shared" si="48"/>
        <v>29702.69</v>
      </c>
      <c r="AQ21" s="216">
        <f t="shared" si="48"/>
        <v>241094.69</v>
      </c>
      <c r="AR21" s="216">
        <f t="shared" si="48"/>
        <v>0</v>
      </c>
      <c r="AS21" s="216">
        <f t="shared" si="48"/>
        <v>241094.69</v>
      </c>
      <c r="AT21" s="216">
        <f t="shared" si="48"/>
        <v>20997</v>
      </c>
      <c r="AU21" s="216">
        <f t="shared" si="48"/>
        <v>1594</v>
      </c>
      <c r="AV21" s="216">
        <f t="shared" si="48"/>
        <v>37.5</v>
      </c>
      <c r="AW21" s="216">
        <f t="shared" si="48"/>
        <v>1500</v>
      </c>
      <c r="AX21" s="216">
        <f t="shared" si="48"/>
        <v>24128.5</v>
      </c>
      <c r="AY21" s="216">
        <f t="shared" si="48"/>
        <v>187271</v>
      </c>
      <c r="BB21" s="231"/>
      <c r="BD21" s="232">
        <f>SUM(BD5:BD20)</f>
        <v>187271</v>
      </c>
      <c r="BE21" s="232">
        <f>SUM(BE5:BE20)</f>
        <v>0</v>
      </c>
      <c r="BF21" s="232">
        <f>SUM(BF5:BF20)</f>
        <v>187271</v>
      </c>
    </row>
    <row r="22" spans="1:77">
      <c r="G22" s="209"/>
      <c r="Q22" s="209"/>
    </row>
    <row r="23" spans="1:77">
      <c r="B23" s="210"/>
      <c r="G23" s="209"/>
      <c r="P23" s="209"/>
      <c r="Q23" s="209"/>
      <c r="AA23" s="97"/>
      <c r="AK23" s="209"/>
      <c r="AS23" s="209"/>
      <c r="AX23" s="221"/>
      <c r="BD23" s="96"/>
      <c r="BE23" s="96"/>
      <c r="BF23" s="96"/>
    </row>
    <row r="24" spans="1:77">
      <c r="G24" s="209"/>
      <c r="Q24" s="209"/>
      <c r="AR24" s="221"/>
      <c r="AS24" s="209"/>
      <c r="AT24" s="209"/>
      <c r="AX24" s="221"/>
      <c r="BF24" s="96"/>
    </row>
    <row r="25" spans="1:77">
      <c r="Q25" s="209"/>
      <c r="Z25" s="97"/>
      <c r="AA25" s="97"/>
      <c r="AK25" s="209"/>
      <c r="AP25" s="209"/>
      <c r="AS25" s="221"/>
      <c r="AT25" s="209"/>
      <c r="AX25" s="209"/>
      <c r="AY25" s="221"/>
      <c r="BD25" s="96"/>
      <c r="BE25" s="96"/>
      <c r="BF25" s="96"/>
    </row>
    <row r="26" spans="1:77">
      <c r="Q26" s="209"/>
      <c r="AJ26" s="221"/>
      <c r="AP26" s="209"/>
      <c r="AS26" s="221"/>
      <c r="AY26" s="221"/>
    </row>
    <row r="27" spans="1:77">
      <c r="AP27" s="209"/>
      <c r="AS27" s="221"/>
    </row>
    <row r="28" spans="1:77">
      <c r="AP28" s="209"/>
    </row>
    <row r="29" spans="1:77">
      <c r="AP29" s="209"/>
      <c r="AS29" s="209"/>
    </row>
    <row r="30" spans="1:77">
      <c r="AP30" s="209"/>
      <c r="AS30" s="209"/>
    </row>
  </sheetData>
  <mergeCells count="2">
    <mergeCell ref="BI3:BP3"/>
    <mergeCell ref="BQ3:BU3"/>
  </mergeCells>
  <conditionalFormatting sqref="B5:B19">
    <cfRule type="duplicateValues" dxfId="97" priority="385"/>
  </conditionalFormatting>
  <conditionalFormatting sqref="C13">
    <cfRule type="duplicateValues" dxfId="96" priority="31"/>
  </conditionalFormatting>
  <conditionalFormatting sqref="C14">
    <cfRule type="duplicateValues" dxfId="95" priority="28"/>
  </conditionalFormatting>
  <conditionalFormatting sqref="C30:C1048576 C1:C12 C15:C24">
    <cfRule type="duplicateValues" dxfId="94" priority="382"/>
  </conditionalFormatting>
  <conditionalFormatting sqref="D5:D6">
    <cfRule type="duplicateValues" dxfId="93" priority="262"/>
  </conditionalFormatting>
  <conditionalFormatting sqref="D13">
    <cfRule type="duplicateValues" dxfId="92" priority="24"/>
  </conditionalFormatting>
  <conditionalFormatting sqref="D14">
    <cfRule type="duplicateValues" dxfId="91" priority="27"/>
  </conditionalFormatting>
  <conditionalFormatting sqref="D15:D16 D7:D12">
    <cfRule type="duplicateValues" dxfId="90" priority="369"/>
  </conditionalFormatting>
  <conditionalFormatting sqref="D17:D19">
    <cfRule type="duplicateValues" dxfId="89" priority="390"/>
  </conditionalFormatting>
  <conditionalFormatting sqref="D20:D21 D1:D4 D26:D1048576">
    <cfRule type="duplicateValues" dxfId="88" priority="78"/>
  </conditionalFormatting>
  <conditionalFormatting sqref="D20:D21 D1:D4 D35:D1048576">
    <cfRule type="duplicateValues" dxfId="87" priority="82"/>
  </conditionalFormatting>
  <conditionalFormatting sqref="E5:E6">
    <cfRule type="duplicateValues" dxfId="86" priority="41"/>
  </conditionalFormatting>
  <conditionalFormatting sqref="E13">
    <cfRule type="duplicateValues" dxfId="85" priority="23"/>
  </conditionalFormatting>
  <conditionalFormatting sqref="E15:E16 E12 E8:E9">
    <cfRule type="duplicateValues" dxfId="84" priority="371"/>
  </conditionalFormatting>
  <conditionalFormatting sqref="E17:E18">
    <cfRule type="duplicateValues" dxfId="83" priority="32"/>
  </conditionalFormatting>
  <conditionalFormatting sqref="E20">
    <cfRule type="duplicateValues" dxfId="82" priority="234"/>
  </conditionalFormatting>
  <conditionalFormatting sqref="G5:H18">
    <cfRule type="duplicateValues" dxfId="81" priority="379"/>
  </conditionalFormatting>
  <conditionalFormatting sqref="G19:H19">
    <cfRule type="duplicateValues" dxfId="80" priority="14"/>
  </conditionalFormatting>
  <conditionalFormatting sqref="G20:H1048576 G1:H4">
    <cfRule type="duplicateValues" dxfId="79" priority="84"/>
  </conditionalFormatting>
  <conditionalFormatting sqref="BA13">
    <cfRule type="duplicateValues" dxfId="78" priority="21"/>
  </conditionalFormatting>
  <conditionalFormatting sqref="BA14">
    <cfRule type="duplicateValues" dxfId="77" priority="22"/>
  </conditionalFormatting>
  <conditionalFormatting sqref="BA15:BA18 BA7:BA12">
    <cfRule type="duplicateValues" dxfId="76" priority="374"/>
  </conditionalFormatting>
  <conditionalFormatting sqref="BA19">
    <cfRule type="duplicateValues" dxfId="75" priority="1"/>
  </conditionalFormatting>
  <conditionalFormatting sqref="BA20:BA1048576 BA1:BA6">
    <cfRule type="duplicateValues" dxfId="74" priority="81"/>
  </conditionalFormatting>
  <conditionalFormatting sqref="BB5:BB18">
    <cfRule type="duplicateValues" dxfId="73" priority="381"/>
  </conditionalFormatting>
  <conditionalFormatting sqref="BB19">
    <cfRule type="duplicateValues" dxfId="72" priority="2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54"/>
  <sheetViews>
    <sheetView zoomScaleSheetLayoutView="92" workbookViewId="0">
      <selection activeCell="L8" sqref="L8"/>
    </sheetView>
  </sheetViews>
  <sheetFormatPr defaultColWidth="9" defaultRowHeight="15"/>
  <cols>
    <col min="1" max="1" width="6.7109375" customWidth="1"/>
    <col min="2" max="2" width="5.7109375" customWidth="1"/>
    <col min="3" max="3" width="23.140625" customWidth="1"/>
    <col min="4" max="4" width="31.85546875" customWidth="1"/>
    <col min="5" max="5" width="28.5703125" customWidth="1"/>
    <col min="6" max="6" width="21.85546875" customWidth="1"/>
    <col min="7" max="7" width="6.28515625" customWidth="1"/>
  </cols>
  <sheetData>
    <row r="2" spans="2:7" ht="28.5">
      <c r="B2" s="156"/>
      <c r="C2" s="286" t="s">
        <v>163</v>
      </c>
      <c r="D2" s="286"/>
      <c r="E2" s="286"/>
      <c r="F2" s="286"/>
      <c r="G2" s="157"/>
    </row>
    <row r="3" spans="2:7" ht="15.75">
      <c r="B3" s="158"/>
      <c r="C3" s="287" t="s">
        <v>303</v>
      </c>
      <c r="D3" s="287"/>
      <c r="E3" s="287"/>
      <c r="F3" s="287"/>
      <c r="G3" s="159"/>
    </row>
    <row r="4" spans="2:7" ht="21">
      <c r="B4" s="158"/>
      <c r="C4" s="288" t="s">
        <v>304</v>
      </c>
      <c r="D4" s="288"/>
      <c r="E4" s="288"/>
      <c r="F4" s="288"/>
      <c r="G4" s="159"/>
    </row>
    <row r="5" spans="2:7" ht="16.899999999999999" customHeight="1">
      <c r="B5" s="158"/>
      <c r="C5" s="160"/>
      <c r="D5" s="161" t="s">
        <v>305</v>
      </c>
      <c r="E5" s="162">
        <v>44475</v>
      </c>
      <c r="F5" s="163">
        <v>1</v>
      </c>
      <c r="G5" s="159"/>
    </row>
    <row r="6" spans="2:7" ht="18.75">
      <c r="B6" s="158"/>
      <c r="C6" s="164" t="s">
        <v>306</v>
      </c>
      <c r="D6" s="165" t="str">
        <f>VLOOKUP($F$5,'Wage Sheet'!$A$4:$AY$20,5,FALSE)</f>
        <v>CHANDAKA SUVARNA LAXMI</v>
      </c>
      <c r="E6" s="164" t="s">
        <v>307</v>
      </c>
      <c r="F6" s="165" t="str">
        <f>VLOOKUP($F$5,'Wage Sheet'!$A$4:$AY$20,10,FALSE)</f>
        <v>ANAKAPALLI</v>
      </c>
      <c r="G6" s="159"/>
    </row>
    <row r="7" spans="2:7" ht="18.75">
      <c r="B7" s="158"/>
      <c r="C7" s="164" t="s">
        <v>179</v>
      </c>
      <c r="D7" s="165" t="str">
        <f>VLOOKUP($F$5,'Wage Sheet'!$A$4:$AY$20,13,FALSE)</f>
        <v>PICKER / PACKER</v>
      </c>
      <c r="E7" s="164" t="s">
        <v>308</v>
      </c>
      <c r="F7" s="166">
        <f>VLOOKUP($F$5,'Wage Sheet'!$A$4:$AY$20,15,FALSE)</f>
        <v>46054</v>
      </c>
      <c r="G7" s="159"/>
    </row>
    <row r="8" spans="2:7" ht="18.75">
      <c r="B8" s="158"/>
      <c r="C8" s="164" t="s">
        <v>309</v>
      </c>
      <c r="D8" s="269" t="str">
        <f>VLOOKUP($F$5,'Wage Sheet'!$A$4:$AY$20,7,FALSE)</f>
        <v>101742491826</v>
      </c>
      <c r="E8" s="164" t="s">
        <v>310</v>
      </c>
      <c r="F8" s="269" t="str">
        <f>VLOOKUP($F$5,'Wage Sheet'!$A$4:$AY$20,8,FALSE)</f>
        <v>7011080364</v>
      </c>
      <c r="G8" s="159"/>
    </row>
    <row r="9" spans="2:7" ht="18.75" hidden="1">
      <c r="B9" s="158"/>
      <c r="C9" s="167" t="s">
        <v>311</v>
      </c>
      <c r="D9" s="168">
        <f>VLOOKUP($F$5,'[2]Wage Sheet'!$A$2:$AO$454,13)</f>
        <v>0</v>
      </c>
      <c r="E9" s="164" t="s">
        <v>312</v>
      </c>
      <c r="F9" s="168">
        <f>VLOOKUP($F$5,'[2]Wage Sheet'!$A$2:$AO$454,14)</f>
        <v>922</v>
      </c>
      <c r="G9" s="159"/>
    </row>
    <row r="10" spans="2:7">
      <c r="B10" s="158"/>
      <c r="C10" s="169"/>
      <c r="D10" s="169"/>
      <c r="E10" s="169"/>
      <c r="F10" s="169"/>
      <c r="G10" s="159"/>
    </row>
    <row r="11" spans="2:7" ht="18.75">
      <c r="B11" s="158"/>
      <c r="C11" s="170" t="s">
        <v>313</v>
      </c>
      <c r="D11" s="171"/>
      <c r="E11" s="170" t="s">
        <v>314</v>
      </c>
      <c r="F11" s="171"/>
      <c r="G11" s="159"/>
    </row>
    <row r="12" spans="2:7" ht="18.75">
      <c r="B12" s="158"/>
      <c r="C12" s="172" t="s">
        <v>315</v>
      </c>
      <c r="D12" s="165">
        <f>VLOOKUP($F$5,'Wage Sheet'!$A$4:$AY$20,31,FALSE)</f>
        <v>0</v>
      </c>
      <c r="E12" s="172" t="s">
        <v>316</v>
      </c>
      <c r="F12" s="165">
        <f>VLOOKUP($F$5,'Wage Sheet'!$A$4:$AY$20,48,FALSE)</f>
        <v>2.5</v>
      </c>
      <c r="G12" s="159"/>
    </row>
    <row r="13" spans="2:7" ht="18.75">
      <c r="B13" s="158"/>
      <c r="C13" s="172" t="s">
        <v>317</v>
      </c>
      <c r="D13" s="165">
        <f>VLOOKUP($F$5,'Wage Sheet'!$A$4:$AY$20,32,FALSE)</f>
        <v>0</v>
      </c>
      <c r="E13" s="172" t="s">
        <v>318</v>
      </c>
      <c r="F13" s="165">
        <f>VLOOKUP($F$5,'Wage Sheet'!$A$4:$AY$20,49,FALSE)</f>
        <v>0</v>
      </c>
      <c r="G13" s="159"/>
    </row>
    <row r="14" spans="2:7" ht="18.75">
      <c r="B14" s="158"/>
      <c r="C14" s="172" t="s">
        <v>319</v>
      </c>
      <c r="D14" s="165">
        <f>VLOOKUP($F$5,'Wage Sheet'!$A$4:$AY$20,34,FALSE)</f>
        <v>308</v>
      </c>
      <c r="E14" s="172" t="s">
        <v>320</v>
      </c>
      <c r="F14" s="165">
        <f>VLOOKUP($F$5,'Wage Sheet'!$A$4:$AY$20,50,FALSE)</f>
        <v>321.5</v>
      </c>
      <c r="G14" s="159"/>
    </row>
    <row r="15" spans="2:7" ht="18.75">
      <c r="B15" s="158"/>
      <c r="C15" s="172" t="s">
        <v>321</v>
      </c>
      <c r="D15" s="165">
        <f>VLOOKUP($F$5,'Wage Sheet'!$A$4:$AY$20,37,FALSE)</f>
        <v>2977</v>
      </c>
      <c r="E15" s="172" t="s">
        <v>322</v>
      </c>
      <c r="F15" s="165">
        <f>VLOOKUP($F$5,'Wage Sheet'!$A$4:$AY$20,51,FALSE)</f>
        <v>2656</v>
      </c>
      <c r="G15" s="159"/>
    </row>
    <row r="16" spans="2:7" ht="18.75">
      <c r="B16" s="158"/>
      <c r="C16" s="172" t="s">
        <v>323</v>
      </c>
      <c r="D16" s="165">
        <f>VLOOKUP($F$5,'Wage Sheet'!$A$4:$AY$20,35,FALSE)</f>
        <v>0</v>
      </c>
      <c r="E16" s="172"/>
      <c r="F16" s="173"/>
      <c r="G16" s="159"/>
    </row>
    <row r="17" spans="2:7" ht="18.75">
      <c r="B17" s="158"/>
      <c r="C17" s="172" t="s">
        <v>324</v>
      </c>
      <c r="D17" s="165">
        <f>VLOOKUP($F$5,'Wage Sheet'!$A$4:$AY$20,39,FALSE)</f>
        <v>320</v>
      </c>
      <c r="E17" s="172"/>
      <c r="F17" s="173"/>
      <c r="G17" s="159"/>
    </row>
    <row r="18" spans="2:7" ht="18.75">
      <c r="B18" s="158"/>
      <c r="C18" s="172" t="s">
        <v>325</v>
      </c>
      <c r="D18" s="165">
        <f>VLOOKUP($F$5,'Wage Sheet'!$A$4:$AY$20,36,FALSE)</f>
        <v>205</v>
      </c>
      <c r="E18" s="172"/>
      <c r="F18" s="173"/>
      <c r="G18" s="159"/>
    </row>
    <row r="19" spans="2:7" ht="15.75">
      <c r="B19" s="158"/>
      <c r="C19" s="172" t="s">
        <v>326</v>
      </c>
      <c r="D19" s="174">
        <f>SUM(D12:D18)</f>
        <v>3810</v>
      </c>
      <c r="E19" s="172" t="s">
        <v>204</v>
      </c>
      <c r="F19" s="173">
        <f>SUM(F12:F18)</f>
        <v>2980</v>
      </c>
      <c r="G19" s="159"/>
    </row>
    <row r="20" spans="2:7" ht="18.75">
      <c r="B20" s="158"/>
      <c r="C20" s="175"/>
      <c r="D20" s="176"/>
      <c r="E20" s="164" t="s">
        <v>327</v>
      </c>
      <c r="F20" s="177">
        <f>(D19-F19)</f>
        <v>830</v>
      </c>
      <c r="G20" s="159"/>
    </row>
    <row r="21" spans="2:7">
      <c r="B21" s="158"/>
      <c r="C21" s="169"/>
      <c r="D21" s="169"/>
      <c r="E21" s="169"/>
      <c r="F21" s="169"/>
      <c r="G21" s="159"/>
    </row>
    <row r="22" spans="2:7" ht="33" customHeight="1">
      <c r="B22" s="158"/>
      <c r="C22" s="178" t="s">
        <v>328</v>
      </c>
      <c r="D22" s="289" t="e" cm="1">
        <f t="array" ref="D22">[3]!SpellNumber(F20)</f>
        <v>#NAME?</v>
      </c>
      <c r="E22" s="289"/>
      <c r="F22" s="289"/>
      <c r="G22" s="159"/>
    </row>
    <row r="23" spans="2:7" ht="41.45" customHeight="1">
      <c r="B23" s="158"/>
      <c r="C23" s="180"/>
      <c r="D23" s="179"/>
      <c r="E23" s="179"/>
      <c r="F23" s="181" t="s">
        <v>329</v>
      </c>
      <c r="G23" s="159"/>
    </row>
    <row r="24" spans="2:7" ht="18.75">
      <c r="B24" s="158"/>
      <c r="C24" s="290"/>
      <c r="D24" s="290"/>
      <c r="E24" s="182"/>
      <c r="F24" s="183" t="s">
        <v>330</v>
      </c>
      <c r="G24" s="159"/>
    </row>
    <row r="25" spans="2:7">
      <c r="B25" s="184"/>
      <c r="C25" s="185"/>
      <c r="D25" s="185"/>
      <c r="E25" s="185"/>
      <c r="F25" s="185"/>
      <c r="G25" s="186"/>
    </row>
    <row r="26" spans="2:7">
      <c r="B26" s="169"/>
      <c r="C26" s="169"/>
      <c r="D26" s="169"/>
      <c r="E26" s="169"/>
      <c r="F26" s="169"/>
      <c r="G26" s="169"/>
    </row>
    <row r="27" spans="2:7">
      <c r="B27" s="169"/>
      <c r="C27" s="169"/>
      <c r="D27" s="169"/>
      <c r="E27" s="169"/>
      <c r="F27" s="169"/>
      <c r="G27" s="169"/>
    </row>
    <row r="28" spans="2:7">
      <c r="B28" s="169"/>
      <c r="C28" s="169"/>
      <c r="D28" s="169"/>
      <c r="E28" s="169"/>
      <c r="F28" s="169"/>
      <c r="G28" s="169"/>
    </row>
    <row r="29" spans="2:7">
      <c r="B29" s="169"/>
      <c r="C29" s="169"/>
      <c r="D29" s="169"/>
      <c r="E29" s="169"/>
      <c r="F29" s="169"/>
      <c r="G29" s="169"/>
    </row>
    <row r="30" spans="2:7">
      <c r="B30" s="169"/>
      <c r="C30" s="169"/>
      <c r="D30" s="169"/>
      <c r="E30" s="169"/>
      <c r="F30" s="169"/>
      <c r="G30" s="169"/>
    </row>
    <row r="31" spans="2:7" ht="28.5">
      <c r="B31" s="156"/>
      <c r="C31" s="286" t="s">
        <v>163</v>
      </c>
      <c r="D31" s="286"/>
      <c r="E31" s="286"/>
      <c r="F31" s="286"/>
      <c r="G31" s="157"/>
    </row>
    <row r="32" spans="2:7" ht="15.75">
      <c r="B32" s="158"/>
      <c r="C32" s="287" t="s">
        <v>303</v>
      </c>
      <c r="D32" s="287"/>
      <c r="E32" s="287"/>
      <c r="F32" s="287"/>
      <c r="G32" s="159"/>
    </row>
    <row r="33" spans="2:7" ht="21">
      <c r="B33" s="158"/>
      <c r="C33" s="288" t="s">
        <v>331</v>
      </c>
      <c r="D33" s="288"/>
      <c r="E33" s="288"/>
      <c r="F33" s="288"/>
      <c r="G33" s="159"/>
    </row>
    <row r="34" spans="2:7" ht="21">
      <c r="B34" s="158"/>
      <c r="C34" s="160"/>
      <c r="D34" s="161" t="s">
        <v>305</v>
      </c>
      <c r="E34" s="162">
        <v>44475</v>
      </c>
      <c r="F34" s="163">
        <f>F5+1</f>
        <v>2</v>
      </c>
      <c r="G34" s="159"/>
    </row>
    <row r="35" spans="2:7" ht="18.75">
      <c r="B35" s="158"/>
      <c r="C35" s="164" t="s">
        <v>306</v>
      </c>
      <c r="D35" s="165" t="str">
        <f>VLOOKUP($F$34,'Wage Sheet'!$A$4:$AY$20,5,FALSE)</f>
        <v>GOVAADA LAVANYA</v>
      </c>
      <c r="E35" s="164" t="s">
        <v>307</v>
      </c>
      <c r="F35" s="165" t="str">
        <f>VLOOKUP($F$34,'Wage Sheet'!$A$4:$AY$20,10,FALSE)</f>
        <v>ANAKAPALLI</v>
      </c>
      <c r="G35" s="159"/>
    </row>
    <row r="36" spans="2:7" ht="18.75">
      <c r="B36" s="158"/>
      <c r="C36" s="164" t="s">
        <v>179</v>
      </c>
      <c r="D36" s="165" t="str">
        <f>VLOOKUP($F$34,'Wage Sheet'!$A$4:$AY$20,13,FALSE)</f>
        <v>PICKER / PACKER</v>
      </c>
      <c r="E36" s="164" t="s">
        <v>308</v>
      </c>
      <c r="F36" s="166">
        <f>VLOOKUP($F$34,'Wage Sheet'!$A$4:$AY$20,15,FALSE)</f>
        <v>46054</v>
      </c>
      <c r="G36" s="159"/>
    </row>
    <row r="37" spans="2:7" ht="18.75">
      <c r="B37" s="158"/>
      <c r="C37" s="164" t="s">
        <v>309</v>
      </c>
      <c r="D37" s="269" t="str">
        <f>VLOOKUP($F$5,'Wage Sheet'!$A$4:$AY$20,7,FALSE)</f>
        <v>101742491826</v>
      </c>
      <c r="E37" s="164" t="s">
        <v>310</v>
      </c>
      <c r="F37" s="269" t="str">
        <f>VLOOKUP($F$34,'Wage Sheet'!$A$4:$AY$20,8,FALSE)</f>
        <v>6210707847</v>
      </c>
      <c r="G37" s="159"/>
    </row>
    <row r="38" spans="2:7" ht="18.75" hidden="1">
      <c r="B38" s="158"/>
      <c r="C38" s="167" t="s">
        <v>311</v>
      </c>
      <c r="D38" s="168">
        <f>VLOOKUP($F$34,'[2]Wage Sheet'!$A$2:$AO$454,13)</f>
        <v>0</v>
      </c>
      <c r="E38" s="164" t="s">
        <v>312</v>
      </c>
      <c r="F38" s="168">
        <f>VLOOKUP($F$34,'[2]Wage Sheet'!$A$2:$AO$454,14)</f>
        <v>922</v>
      </c>
      <c r="G38" s="159"/>
    </row>
    <row r="39" spans="2:7">
      <c r="B39" s="158"/>
      <c r="C39" s="169"/>
      <c r="D39" s="169"/>
      <c r="E39" s="169"/>
      <c r="F39" s="169"/>
      <c r="G39" s="159"/>
    </row>
    <row r="40" spans="2:7" ht="18.75">
      <c r="B40" s="158"/>
      <c r="C40" s="170" t="s">
        <v>313</v>
      </c>
      <c r="D40" s="171"/>
      <c r="E40" s="170" t="s">
        <v>314</v>
      </c>
      <c r="F40" s="171"/>
      <c r="G40" s="159"/>
    </row>
    <row r="41" spans="2:7" ht="18.75">
      <c r="B41" s="158"/>
      <c r="C41" s="172" t="s">
        <v>315</v>
      </c>
      <c r="D41" s="165">
        <f>VLOOKUP($F$34,'Wage Sheet'!$A$4:$AY$20,31,FALSE)</f>
        <v>0</v>
      </c>
      <c r="E41" s="172" t="s">
        <v>316</v>
      </c>
      <c r="F41" s="165">
        <f>VLOOKUP($F$34,'Wage Sheet'!$A$4:$AY$20,48,FALSE)</f>
        <v>2.5</v>
      </c>
      <c r="G41" s="159"/>
    </row>
    <row r="42" spans="2:7" ht="18.75">
      <c r="B42" s="158"/>
      <c r="C42" s="172" t="s">
        <v>317</v>
      </c>
      <c r="D42" s="165">
        <f>VLOOKUP($F$34,'Wage Sheet'!$A$4:$AY$20,32,FALSE)</f>
        <v>0</v>
      </c>
      <c r="E42" s="172" t="s">
        <v>318</v>
      </c>
      <c r="F42" s="165">
        <f>VLOOKUP($F$34,'Wage Sheet'!$A$4:$AY$20,49,FALSE)</f>
        <v>0</v>
      </c>
      <c r="G42" s="159"/>
    </row>
    <row r="43" spans="2:7" ht="18.75">
      <c r="B43" s="158"/>
      <c r="C43" s="172" t="s">
        <v>319</v>
      </c>
      <c r="D43" s="165">
        <f>VLOOKUP($F$34,'Wage Sheet'!$A$4:$AY$20,34,FALSE)</f>
        <v>1232</v>
      </c>
      <c r="E43" s="172" t="s">
        <v>320</v>
      </c>
      <c r="F43" s="165">
        <f>VLOOKUP($F$34,'Wage Sheet'!$A$4:$AY$20,50,FALSE)</f>
        <v>1275.5</v>
      </c>
      <c r="G43" s="159"/>
    </row>
    <row r="44" spans="2:7" ht="18.75">
      <c r="B44" s="158"/>
      <c r="C44" s="172" t="s">
        <v>321</v>
      </c>
      <c r="D44" s="165">
        <f>VLOOKUP($F$34,'Wage Sheet'!$A$4:$AY$20,37,FALSE)</f>
        <v>11909</v>
      </c>
      <c r="E44" s="172" t="s">
        <v>322</v>
      </c>
      <c r="F44" s="165">
        <f>VLOOKUP($F$34,'Wage Sheet'!$A$4:$AY$20,51,FALSE)</f>
        <v>10634</v>
      </c>
      <c r="G44" s="159"/>
    </row>
    <row r="45" spans="2:7" ht="18.75">
      <c r="B45" s="158"/>
      <c r="C45" s="172" t="s">
        <v>323</v>
      </c>
      <c r="D45" s="165">
        <f>VLOOKUP($F$34,'Wage Sheet'!$A$4:$AY$20,35,FALSE)</f>
        <v>0</v>
      </c>
      <c r="E45" s="172"/>
      <c r="F45" s="173"/>
      <c r="G45" s="159"/>
    </row>
    <row r="46" spans="2:7" ht="18.75">
      <c r="B46" s="158"/>
      <c r="C46" s="172" t="s">
        <v>324</v>
      </c>
      <c r="D46" s="165">
        <f>VLOOKUP($F$34,'Wage Sheet'!$A$4:$AY$20,39,FALSE)</f>
        <v>1281</v>
      </c>
      <c r="E46" s="172"/>
      <c r="F46" s="173"/>
      <c r="G46" s="159"/>
    </row>
    <row r="47" spans="2:7" ht="18.75">
      <c r="B47" s="158"/>
      <c r="C47" s="172" t="s">
        <v>332</v>
      </c>
      <c r="D47" s="165">
        <f>VLOOKUP($F$34,'Wage Sheet'!$A$4:$AY$20,36,FALSE)</f>
        <v>821</v>
      </c>
      <c r="E47" s="172"/>
      <c r="F47" s="173"/>
      <c r="G47" s="159"/>
    </row>
    <row r="48" spans="2:7" ht="15.75">
      <c r="B48" s="158"/>
      <c r="C48" s="172" t="s">
        <v>326</v>
      </c>
      <c r="D48" s="173">
        <f>SUM(D41:D47)</f>
        <v>15243</v>
      </c>
      <c r="E48" s="172" t="s">
        <v>204</v>
      </c>
      <c r="F48" s="173">
        <f>SUM(F41:F47)</f>
        <v>11912</v>
      </c>
      <c r="G48" s="159"/>
    </row>
    <row r="49" spans="2:7" ht="18.75">
      <c r="B49" s="158"/>
      <c r="C49" s="175"/>
      <c r="D49" s="176"/>
      <c r="E49" s="164" t="s">
        <v>327</v>
      </c>
      <c r="F49" s="177">
        <f>(D48-F48)</f>
        <v>3331</v>
      </c>
      <c r="G49" s="159"/>
    </row>
    <row r="50" spans="2:7">
      <c r="B50" s="158"/>
      <c r="C50" s="169"/>
      <c r="D50" s="169"/>
      <c r="E50" s="169"/>
      <c r="F50" s="169"/>
      <c r="G50" s="159"/>
    </row>
    <row r="51" spans="2:7" ht="37.9" customHeight="1">
      <c r="B51" s="158"/>
      <c r="C51" s="178" t="s">
        <v>328</v>
      </c>
      <c r="D51" s="289" t="e" cm="1">
        <f t="array" ref="D51">[3]!SpellNumber(F49)</f>
        <v>#NAME?</v>
      </c>
      <c r="E51" s="289"/>
      <c r="F51" s="289"/>
      <c r="G51" s="159"/>
    </row>
    <row r="52" spans="2:7" ht="41.45" customHeight="1">
      <c r="B52" s="158"/>
      <c r="C52" s="180"/>
      <c r="D52" s="179"/>
      <c r="E52" s="179"/>
      <c r="F52" s="181" t="s">
        <v>329</v>
      </c>
      <c r="G52" s="159"/>
    </row>
    <row r="53" spans="2:7" ht="18.75">
      <c r="B53" s="158"/>
      <c r="C53" s="290"/>
      <c r="D53" s="290"/>
      <c r="E53" s="182"/>
      <c r="F53" s="183" t="s">
        <v>330</v>
      </c>
      <c r="G53" s="159"/>
    </row>
    <row r="54" spans="2:7">
      <c r="B54" s="184"/>
      <c r="C54" s="185"/>
      <c r="D54" s="185"/>
      <c r="E54" s="185"/>
      <c r="F54" s="185"/>
      <c r="G54" s="186"/>
    </row>
  </sheetData>
  <mergeCells count="10">
    <mergeCell ref="C31:F31"/>
    <mergeCell ref="C32:F32"/>
    <mergeCell ref="C33:F33"/>
    <mergeCell ref="D51:F51"/>
    <mergeCell ref="C53:D53"/>
    <mergeCell ref="C2:F2"/>
    <mergeCell ref="C3:F3"/>
    <mergeCell ref="C4:F4"/>
    <mergeCell ref="D22:F22"/>
    <mergeCell ref="C24:D24"/>
  </mergeCells>
  <printOptions horizontalCentered="1"/>
  <pageMargins left="0.23622047244094499" right="0.23622047244094499" top="0.35433070866141703" bottom="0.35433070866141703" header="0.31496062992126" footer="0.31496062992126"/>
  <pageSetup paperSize="9" scale="8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J49"/>
  <sheetViews>
    <sheetView showGridLines="0" topLeftCell="A13" workbookViewId="0">
      <selection activeCell="J16" sqref="J16"/>
    </sheetView>
  </sheetViews>
  <sheetFormatPr defaultColWidth="9" defaultRowHeight="15"/>
  <cols>
    <col min="2" max="2" width="21.7109375" customWidth="1"/>
    <col min="3" max="3" width="45.42578125" customWidth="1"/>
    <col min="6" max="6" width="15.28515625" customWidth="1"/>
    <col min="7" max="7" width="20" customWidth="1"/>
    <col min="9" max="9" width="11.5703125" customWidth="1"/>
    <col min="10" max="10" width="12.5703125" customWidth="1"/>
  </cols>
  <sheetData>
    <row r="1" spans="2:7">
      <c r="B1" s="99"/>
      <c r="C1" s="99"/>
      <c r="D1" s="99"/>
      <c r="E1" s="99"/>
      <c r="F1" s="99"/>
      <c r="G1" s="99"/>
    </row>
    <row r="2" spans="2:7">
      <c r="B2" s="291" t="s">
        <v>333</v>
      </c>
      <c r="C2" s="291"/>
      <c r="D2" s="291"/>
      <c r="E2" s="291"/>
      <c r="F2" s="291"/>
      <c r="G2" s="291"/>
    </row>
    <row r="3" spans="2:7">
      <c r="B3" s="99"/>
      <c r="C3" s="99"/>
      <c r="D3" s="99"/>
      <c r="E3" s="99"/>
      <c r="F3" s="99"/>
      <c r="G3" s="100" t="s">
        <v>334</v>
      </c>
    </row>
    <row r="4" spans="2:7">
      <c r="B4" s="298"/>
      <c r="C4" s="101" t="s">
        <v>335</v>
      </c>
      <c r="D4" s="102"/>
      <c r="E4" s="102"/>
      <c r="F4" s="102"/>
      <c r="G4" s="103"/>
    </row>
    <row r="5" spans="2:7">
      <c r="B5" s="299"/>
      <c r="C5" s="104" t="s">
        <v>336</v>
      </c>
      <c r="D5" s="105"/>
      <c r="E5" s="105"/>
      <c r="F5" s="105"/>
      <c r="G5" s="106"/>
    </row>
    <row r="6" spans="2:7">
      <c r="B6" s="299"/>
      <c r="C6" s="107" t="s">
        <v>337</v>
      </c>
      <c r="D6" s="99"/>
      <c r="E6" s="99"/>
      <c r="F6" s="99"/>
      <c r="G6" s="108"/>
    </row>
    <row r="7" spans="2:7">
      <c r="B7" s="299"/>
      <c r="C7" s="107" t="s">
        <v>338</v>
      </c>
      <c r="D7" s="99"/>
      <c r="E7" s="99"/>
      <c r="F7" s="99"/>
      <c r="G7" s="108"/>
    </row>
    <row r="8" spans="2:7" ht="15.75">
      <c r="B8" s="300"/>
      <c r="C8" s="109" t="s">
        <v>339</v>
      </c>
      <c r="D8" s="110"/>
      <c r="E8" s="110"/>
      <c r="F8" s="111" t="s">
        <v>340</v>
      </c>
      <c r="G8" s="112"/>
    </row>
    <row r="9" spans="2:7">
      <c r="B9" s="113" t="s">
        <v>341</v>
      </c>
      <c r="C9" s="114"/>
      <c r="D9" s="115"/>
      <c r="E9" s="115"/>
      <c r="F9" s="115"/>
      <c r="G9" s="116"/>
    </row>
    <row r="10" spans="2:7">
      <c r="B10" s="117" t="s">
        <v>342</v>
      </c>
      <c r="C10" s="118"/>
      <c r="D10" s="118"/>
      <c r="E10" s="118" t="s">
        <v>343</v>
      </c>
      <c r="F10" s="118"/>
      <c r="G10" s="119"/>
    </row>
    <row r="11" spans="2:7">
      <c r="B11" s="120" t="s">
        <v>344</v>
      </c>
      <c r="C11" s="99"/>
      <c r="D11" s="99"/>
      <c r="E11" s="99"/>
      <c r="F11" s="99"/>
      <c r="G11" s="108"/>
    </row>
    <row r="12" spans="2:7">
      <c r="B12" s="301" t="s">
        <v>345</v>
      </c>
      <c r="C12" s="302"/>
      <c r="D12" s="99"/>
      <c r="E12" s="99"/>
      <c r="F12" s="99"/>
      <c r="G12" s="121"/>
    </row>
    <row r="13" spans="2:7">
      <c r="B13" s="301"/>
      <c r="C13" s="302"/>
      <c r="D13" s="99"/>
      <c r="E13" s="99"/>
      <c r="F13" s="99"/>
      <c r="G13" s="121"/>
    </row>
    <row r="14" spans="2:7">
      <c r="B14" s="301"/>
      <c r="C14" s="302"/>
      <c r="D14" s="99"/>
      <c r="E14" s="99"/>
      <c r="F14" s="99"/>
      <c r="G14" s="121"/>
    </row>
    <row r="15" spans="2:7">
      <c r="B15" s="122" t="s">
        <v>346</v>
      </c>
      <c r="C15" s="123"/>
      <c r="D15" s="115"/>
      <c r="E15" s="115"/>
      <c r="F15" s="115"/>
      <c r="G15" s="124"/>
    </row>
    <row r="16" spans="2:7">
      <c r="B16" s="125" t="s">
        <v>347</v>
      </c>
      <c r="C16" s="110"/>
      <c r="D16" s="110"/>
      <c r="E16" s="110"/>
      <c r="F16" s="110"/>
      <c r="G16" s="126"/>
    </row>
    <row r="17" spans="2:10">
      <c r="B17" s="127" t="s">
        <v>348</v>
      </c>
      <c r="C17" s="115"/>
      <c r="D17" s="115"/>
      <c r="E17" s="115"/>
      <c r="F17" s="115"/>
      <c r="G17" s="116"/>
    </row>
    <row r="18" spans="2:10">
      <c r="B18" s="127" t="s">
        <v>349</v>
      </c>
      <c r="C18" s="115"/>
      <c r="D18" s="115"/>
      <c r="E18" s="115"/>
      <c r="F18" s="115"/>
      <c r="G18" s="116"/>
    </row>
    <row r="19" spans="2:10">
      <c r="B19" s="128" t="s">
        <v>350</v>
      </c>
      <c r="C19" s="129" t="s">
        <v>351</v>
      </c>
      <c r="D19" s="129" t="s">
        <v>352</v>
      </c>
      <c r="E19" s="129" t="s">
        <v>353</v>
      </c>
      <c r="F19" s="130" t="s">
        <v>354</v>
      </c>
      <c r="G19" s="131" t="s">
        <v>355</v>
      </c>
    </row>
    <row r="20" spans="2:10">
      <c r="B20" s="120" t="s">
        <v>356</v>
      </c>
      <c r="C20" s="99" t="s">
        <v>357</v>
      </c>
      <c r="D20" s="99"/>
      <c r="E20" s="99"/>
      <c r="F20" s="99"/>
      <c r="G20" s="132" t="e">
        <f>#REF!</f>
        <v>#REF!</v>
      </c>
    </row>
    <row r="21" spans="2:10">
      <c r="B21" s="120"/>
      <c r="C21" s="99"/>
      <c r="D21" s="99"/>
      <c r="E21" s="99"/>
      <c r="F21" s="99"/>
      <c r="G21" s="108"/>
    </row>
    <row r="22" spans="2:10">
      <c r="B22" s="120"/>
      <c r="C22" s="99" t="s">
        <v>358</v>
      </c>
      <c r="D22" s="99"/>
      <c r="E22" s="99"/>
      <c r="F22" s="99"/>
      <c r="G22" s="132" t="e">
        <f>G20</f>
        <v>#REF!</v>
      </c>
    </row>
    <row r="23" spans="2:10">
      <c r="B23" s="120"/>
      <c r="C23" s="99"/>
      <c r="D23" s="99"/>
      <c r="E23" s="99"/>
      <c r="F23" s="99"/>
      <c r="G23" s="108"/>
    </row>
    <row r="24" spans="2:10">
      <c r="B24" s="120"/>
      <c r="C24" s="99"/>
      <c r="D24" s="99"/>
      <c r="E24" s="99"/>
      <c r="F24" s="99"/>
      <c r="G24" s="108"/>
    </row>
    <row r="25" spans="2:10">
      <c r="B25" s="120"/>
      <c r="C25" s="99" t="s">
        <v>359</v>
      </c>
      <c r="D25" s="99"/>
      <c r="E25" s="99">
        <v>9</v>
      </c>
      <c r="F25" s="99" t="s">
        <v>360</v>
      </c>
      <c r="G25" s="132" t="e">
        <f>+G22*E25%</f>
        <v>#REF!</v>
      </c>
    </row>
    <row r="26" spans="2:10">
      <c r="B26" s="120"/>
      <c r="C26" s="99" t="s">
        <v>361</v>
      </c>
      <c r="D26" s="99"/>
      <c r="E26" s="99">
        <v>9</v>
      </c>
      <c r="F26" s="99" t="s">
        <v>360</v>
      </c>
      <c r="G26" s="132" t="e">
        <f>+G22*E26%</f>
        <v>#REF!</v>
      </c>
    </row>
    <row r="27" spans="2:10">
      <c r="B27" s="120"/>
      <c r="C27" s="99" t="s">
        <v>362</v>
      </c>
      <c r="D27" s="99"/>
      <c r="E27" s="99">
        <v>0</v>
      </c>
      <c r="F27" s="99" t="s">
        <v>360</v>
      </c>
      <c r="G27" s="133">
        <v>0</v>
      </c>
      <c r="J27" s="97"/>
    </row>
    <row r="28" spans="2:10">
      <c r="B28" s="120"/>
      <c r="C28" s="99" t="s">
        <v>363</v>
      </c>
      <c r="D28" s="99"/>
      <c r="E28" s="99">
        <v>0</v>
      </c>
      <c r="F28" s="99" t="s">
        <v>360</v>
      </c>
      <c r="G28" s="134">
        <f>+E28*G23%</f>
        <v>0</v>
      </c>
      <c r="J28" s="97"/>
    </row>
    <row r="29" spans="2:10">
      <c r="B29" s="120"/>
      <c r="C29" s="99" t="s">
        <v>364</v>
      </c>
      <c r="D29" s="99"/>
      <c r="E29" s="99">
        <v>0</v>
      </c>
      <c r="F29" s="99" t="s">
        <v>360</v>
      </c>
      <c r="G29" s="134">
        <f>+E29*G24%</f>
        <v>0</v>
      </c>
    </row>
    <row r="30" spans="2:10">
      <c r="B30" s="120"/>
      <c r="C30" s="99"/>
      <c r="D30" s="99"/>
      <c r="E30" s="99"/>
      <c r="F30" s="99"/>
      <c r="G30" s="108"/>
    </row>
    <row r="31" spans="2:10" s="98" customFormat="1" ht="36.75" customHeight="1">
      <c r="B31" s="135"/>
      <c r="C31" s="292" t="s">
        <v>365</v>
      </c>
      <c r="D31" s="292"/>
      <c r="E31" s="292"/>
      <c r="F31" s="292"/>
      <c r="G31" s="136" t="e">
        <f>ROUND(G22+G25+G26,0)</f>
        <v>#REF!</v>
      </c>
      <c r="I31" s="154"/>
      <c r="J31" s="155"/>
    </row>
    <row r="32" spans="2:10">
      <c r="B32" s="293" t="s">
        <v>366</v>
      </c>
      <c r="C32" s="294"/>
      <c r="D32" s="294"/>
      <c r="E32" s="294"/>
      <c r="F32" s="294"/>
      <c r="G32" s="108">
        <v>0</v>
      </c>
      <c r="I32" s="98"/>
    </row>
    <row r="33" spans="2:7">
      <c r="B33" s="137"/>
      <c r="C33" s="138"/>
      <c r="D33" s="138"/>
      <c r="E33" s="138"/>
      <c r="F33" s="138"/>
      <c r="G33" s="139"/>
    </row>
    <row r="34" spans="2:7">
      <c r="B34" s="140" t="s">
        <v>367</v>
      </c>
      <c r="C34" s="141"/>
      <c r="D34" s="142"/>
      <c r="E34" s="143"/>
      <c r="F34" s="143"/>
      <c r="G34" s="144"/>
    </row>
    <row r="35" spans="2:7" ht="15.75">
      <c r="B35" s="145"/>
      <c r="C35" s="146"/>
      <c r="D35" s="118"/>
      <c r="E35" s="118"/>
      <c r="F35" s="147" t="s">
        <v>368</v>
      </c>
      <c r="G35" s="119"/>
    </row>
    <row r="36" spans="2:7" ht="15.75">
      <c r="B36" s="120" t="s">
        <v>369</v>
      </c>
      <c r="C36" s="148"/>
      <c r="D36" s="99"/>
      <c r="E36" s="99"/>
      <c r="F36" s="149"/>
      <c r="G36" s="108"/>
    </row>
    <row r="37" spans="2:7" ht="15.75">
      <c r="B37" s="120"/>
      <c r="C37" s="148"/>
      <c r="D37" s="99"/>
      <c r="E37" s="99"/>
      <c r="F37" s="149"/>
      <c r="G37" s="108"/>
    </row>
    <row r="38" spans="2:7" ht="15.75">
      <c r="B38" s="120"/>
      <c r="C38" s="148"/>
      <c r="D38" s="99"/>
      <c r="E38" s="99"/>
      <c r="F38" s="149"/>
      <c r="G38" s="108"/>
    </row>
    <row r="39" spans="2:7" ht="15.75">
      <c r="B39" s="120"/>
      <c r="C39" s="148"/>
      <c r="D39" s="99"/>
      <c r="E39" s="99"/>
      <c r="F39" s="149"/>
      <c r="G39" s="108"/>
    </row>
    <row r="40" spans="2:7" ht="15.75">
      <c r="B40" s="137"/>
      <c r="C40" s="150"/>
      <c r="D40" s="138"/>
      <c r="E40" s="138"/>
      <c r="F40" s="151" t="s">
        <v>370</v>
      </c>
      <c r="G40" s="139"/>
    </row>
    <row r="41" spans="2:7">
      <c r="B41" s="120"/>
      <c r="C41" s="99"/>
      <c r="D41" s="99"/>
      <c r="E41" s="99"/>
      <c r="F41" s="99"/>
      <c r="G41" s="108"/>
    </row>
    <row r="42" spans="2:7">
      <c r="B42" s="120" t="s">
        <v>371</v>
      </c>
      <c r="C42" s="99"/>
      <c r="D42" s="99"/>
      <c r="E42" s="99"/>
      <c r="F42" s="99"/>
      <c r="G42" s="108"/>
    </row>
    <row r="43" spans="2:7">
      <c r="B43" s="295" t="s">
        <v>372</v>
      </c>
      <c r="C43" s="296"/>
      <c r="D43" s="296"/>
      <c r="E43" s="296"/>
      <c r="F43" s="296"/>
      <c r="G43" s="297"/>
    </row>
    <row r="44" spans="2:7">
      <c r="B44" s="99"/>
      <c r="C44" s="99"/>
      <c r="D44" s="99"/>
      <c r="E44" s="99"/>
      <c r="F44" s="99"/>
      <c r="G44" s="99"/>
    </row>
    <row r="45" spans="2:7">
      <c r="B45" s="152"/>
      <c r="C45" s="99"/>
      <c r="D45" s="99"/>
      <c r="E45" s="99"/>
      <c r="F45" s="99"/>
      <c r="G45" s="99"/>
    </row>
    <row r="46" spans="2:7">
      <c r="B46" s="153" t="s">
        <v>373</v>
      </c>
      <c r="C46" s="99"/>
      <c r="D46" s="99"/>
      <c r="E46" s="99"/>
      <c r="F46" s="99"/>
      <c r="G46" s="99"/>
    </row>
    <row r="47" spans="2:7">
      <c r="B47" s="99" t="s">
        <v>374</v>
      </c>
      <c r="C47" s="99"/>
      <c r="D47" s="99"/>
      <c r="E47" s="99"/>
      <c r="F47" s="99"/>
      <c r="G47" s="99"/>
    </row>
    <row r="48" spans="2:7">
      <c r="B48" s="99" t="s">
        <v>375</v>
      </c>
      <c r="C48" s="99"/>
      <c r="D48" s="99"/>
      <c r="E48" s="99"/>
      <c r="F48" s="99"/>
      <c r="G48" s="99"/>
    </row>
    <row r="49" spans="2:7">
      <c r="B49" s="99"/>
      <c r="C49" s="99"/>
      <c r="D49" s="99"/>
      <c r="E49" s="99"/>
      <c r="F49" s="99"/>
      <c r="G49" s="99"/>
    </row>
  </sheetData>
  <mergeCells count="6">
    <mergeCell ref="B2:G2"/>
    <mergeCell ref="C31:F31"/>
    <mergeCell ref="B32:F32"/>
    <mergeCell ref="B43:G43"/>
    <mergeCell ref="B4:B8"/>
    <mergeCell ref="B12:C1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J37"/>
  <sheetViews>
    <sheetView showGridLines="0" workbookViewId="0">
      <selection activeCell="K15" sqref="K14:K15"/>
    </sheetView>
  </sheetViews>
  <sheetFormatPr defaultColWidth="9" defaultRowHeight="15"/>
  <cols>
    <col min="2" max="2" width="11.5703125" customWidth="1"/>
    <col min="3" max="3" width="53.28515625" customWidth="1"/>
    <col min="6" max="6" width="13.28515625" customWidth="1"/>
    <col min="7" max="7" width="22.5703125" customWidth="1"/>
  </cols>
  <sheetData>
    <row r="1" spans="2:7">
      <c r="B1" s="327" t="s">
        <v>333</v>
      </c>
      <c r="C1" s="327"/>
      <c r="D1" s="327"/>
      <c r="E1" s="327"/>
      <c r="F1" s="327"/>
      <c r="G1" s="327"/>
    </row>
    <row r="2" spans="2:7">
      <c r="B2" s="328"/>
      <c r="C2" s="328"/>
      <c r="D2" s="328"/>
      <c r="E2" s="328"/>
      <c r="F2" s="328"/>
      <c r="G2" s="328"/>
    </row>
    <row r="3" spans="2:7">
      <c r="B3" s="322"/>
      <c r="C3" s="80"/>
      <c r="D3" s="80"/>
      <c r="E3" s="80"/>
      <c r="F3" s="80"/>
      <c r="G3" s="81"/>
    </row>
    <row r="4" spans="2:7">
      <c r="B4" s="323"/>
      <c r="C4" s="303" t="s">
        <v>335</v>
      </c>
      <c r="D4" s="304"/>
      <c r="E4" s="304"/>
      <c r="F4" s="304"/>
      <c r="G4" s="305"/>
    </row>
    <row r="5" spans="2:7">
      <c r="B5" s="323"/>
      <c r="C5" s="82"/>
      <c r="D5" s="82"/>
      <c r="E5" s="82"/>
      <c r="F5" s="82"/>
      <c r="G5" s="83"/>
    </row>
    <row r="6" spans="2:7" ht="31.5" customHeight="1">
      <c r="B6" s="324"/>
      <c r="C6" s="306" t="s">
        <v>376</v>
      </c>
      <c r="D6" s="307"/>
      <c r="E6" s="307"/>
      <c r="F6" s="307"/>
      <c r="G6" s="308"/>
    </row>
    <row r="7" spans="2:7">
      <c r="B7" s="84" t="s">
        <v>377</v>
      </c>
      <c r="C7" s="85"/>
      <c r="D7" s="85"/>
      <c r="E7" s="85"/>
      <c r="F7" s="85" t="s">
        <v>378</v>
      </c>
      <c r="G7" s="85" t="s">
        <v>379</v>
      </c>
    </row>
    <row r="8" spans="2:7">
      <c r="B8" s="309" t="s">
        <v>380</v>
      </c>
      <c r="C8" s="310"/>
      <c r="D8" s="85"/>
      <c r="E8" s="85"/>
      <c r="F8" s="85" t="s">
        <v>381</v>
      </c>
      <c r="G8" s="85"/>
    </row>
    <row r="9" spans="2:7" ht="37.5" customHeight="1">
      <c r="B9" s="311" t="s">
        <v>382</v>
      </c>
      <c r="C9" s="312"/>
      <c r="D9" s="85"/>
      <c r="E9" s="85"/>
      <c r="F9" s="85" t="s">
        <v>383</v>
      </c>
      <c r="G9" s="85" t="s">
        <v>384</v>
      </c>
    </row>
    <row r="10" spans="2:7">
      <c r="B10" s="313" t="s">
        <v>385</v>
      </c>
      <c r="C10" s="314"/>
      <c r="D10" s="325"/>
      <c r="E10" s="325"/>
      <c r="F10" s="325" t="s">
        <v>386</v>
      </c>
      <c r="G10" s="325" t="s">
        <v>387</v>
      </c>
    </row>
    <row r="11" spans="2:7">
      <c r="B11" s="315" t="s">
        <v>388</v>
      </c>
      <c r="C11" s="316"/>
      <c r="D11" s="326"/>
      <c r="E11" s="326"/>
      <c r="F11" s="326"/>
      <c r="G11" s="326"/>
    </row>
    <row r="12" spans="2:7">
      <c r="B12" s="317" t="s">
        <v>389</v>
      </c>
      <c r="C12" s="318"/>
      <c r="D12" s="85"/>
      <c r="E12" s="85"/>
      <c r="F12" s="85" t="s">
        <v>390</v>
      </c>
      <c r="G12" s="86">
        <v>996729</v>
      </c>
    </row>
    <row r="13" spans="2:7" ht="60">
      <c r="B13" s="319" t="s">
        <v>391</v>
      </c>
      <c r="C13" s="320"/>
      <c r="D13" s="85"/>
      <c r="E13" s="85"/>
      <c r="F13" s="85" t="s">
        <v>392</v>
      </c>
      <c r="G13" s="87" t="s">
        <v>393</v>
      </c>
    </row>
    <row r="14" spans="2:7">
      <c r="B14" s="84"/>
      <c r="C14" s="85"/>
      <c r="D14" s="85"/>
      <c r="E14" s="85"/>
      <c r="F14" s="85"/>
      <c r="G14" s="85"/>
    </row>
    <row r="15" spans="2:7">
      <c r="B15" s="88" t="s">
        <v>394</v>
      </c>
      <c r="C15" s="89" t="s">
        <v>392</v>
      </c>
      <c r="D15" s="89" t="s">
        <v>353</v>
      </c>
      <c r="E15" s="89" t="s">
        <v>395</v>
      </c>
      <c r="F15" s="89" t="s">
        <v>396</v>
      </c>
      <c r="G15" s="89" t="s">
        <v>397</v>
      </c>
    </row>
    <row r="16" spans="2:7">
      <c r="B16" s="84"/>
      <c r="C16" s="85"/>
      <c r="D16" s="85"/>
      <c r="E16" s="85"/>
      <c r="F16" s="85"/>
      <c r="G16" s="85"/>
    </row>
    <row r="17" spans="2:10">
      <c r="B17" s="90">
        <v>1</v>
      </c>
      <c r="C17" s="85" t="s">
        <v>398</v>
      </c>
      <c r="D17" s="85"/>
      <c r="E17" s="85"/>
      <c r="F17" s="85"/>
      <c r="G17" s="91"/>
    </row>
    <row r="18" spans="2:10" ht="30">
      <c r="B18" s="84"/>
      <c r="C18" s="87" t="s">
        <v>399</v>
      </c>
      <c r="D18" s="85"/>
      <c r="E18" s="85"/>
      <c r="F18" s="85"/>
      <c r="G18" s="91"/>
    </row>
    <row r="19" spans="2:10">
      <c r="B19" s="90" t="s">
        <v>400</v>
      </c>
      <c r="C19" s="85" t="s">
        <v>401</v>
      </c>
      <c r="D19" s="85"/>
      <c r="E19" s="85"/>
      <c r="F19" s="85"/>
      <c r="G19" s="91"/>
    </row>
    <row r="20" spans="2:10">
      <c r="B20" s="90">
        <v>3</v>
      </c>
      <c r="C20" s="85" t="s">
        <v>402</v>
      </c>
      <c r="D20" s="85"/>
      <c r="E20" s="85"/>
      <c r="F20" s="85"/>
      <c r="G20" s="91" t="e">
        <f>#REF!</f>
        <v>#REF!</v>
      </c>
    </row>
    <row r="21" spans="2:10">
      <c r="B21" s="84"/>
      <c r="C21" s="85"/>
      <c r="D21" s="85"/>
      <c r="E21" s="85"/>
      <c r="F21" s="85"/>
      <c r="G21" s="91"/>
    </row>
    <row r="22" spans="2:10">
      <c r="B22" s="84"/>
      <c r="C22" s="85"/>
      <c r="D22" s="85"/>
      <c r="E22" s="85"/>
      <c r="F22" s="85"/>
      <c r="G22" s="91"/>
    </row>
    <row r="23" spans="2:10">
      <c r="B23" s="84"/>
      <c r="C23" s="85"/>
      <c r="D23" s="85"/>
      <c r="E23" s="85"/>
      <c r="F23" s="85"/>
      <c r="G23" s="91"/>
    </row>
    <row r="24" spans="2:10">
      <c r="B24" s="84"/>
      <c r="C24" s="85"/>
      <c r="D24" s="85"/>
      <c r="E24" s="85"/>
      <c r="F24" s="85"/>
      <c r="G24" s="91"/>
    </row>
    <row r="25" spans="2:10">
      <c r="B25" s="84"/>
      <c r="C25" s="92" t="s">
        <v>403</v>
      </c>
      <c r="D25" s="85"/>
      <c r="E25" s="85"/>
      <c r="F25" s="85"/>
      <c r="G25" s="91" t="e">
        <f>SUM(G17:G23)</f>
        <v>#REF!</v>
      </c>
    </row>
    <row r="26" spans="2:10">
      <c r="B26" s="84"/>
      <c r="C26" s="85"/>
      <c r="D26" s="317" t="s">
        <v>404</v>
      </c>
      <c r="E26" s="321"/>
      <c r="F26" s="318"/>
      <c r="G26" s="91" t="e">
        <f>G25*9%</f>
        <v>#REF!</v>
      </c>
      <c r="I26" s="95"/>
    </row>
    <row r="27" spans="2:10">
      <c r="B27" s="84"/>
      <c r="C27" s="85"/>
      <c r="D27" s="317" t="s">
        <v>405</v>
      </c>
      <c r="E27" s="321"/>
      <c r="F27" s="318"/>
      <c r="G27" s="91" t="e">
        <f>G26</f>
        <v>#REF!</v>
      </c>
    </row>
    <row r="28" spans="2:10">
      <c r="B28" s="84"/>
      <c r="C28" s="85"/>
      <c r="D28" s="317" t="s">
        <v>406</v>
      </c>
      <c r="E28" s="321"/>
      <c r="F28" s="318"/>
      <c r="G28" s="91"/>
    </row>
    <row r="29" spans="2:10">
      <c r="B29" s="84"/>
      <c r="C29" s="85"/>
      <c r="D29" s="85"/>
      <c r="E29" s="85"/>
      <c r="F29" s="85"/>
      <c r="G29" s="91"/>
      <c r="I29" s="96"/>
      <c r="J29" s="97"/>
    </row>
    <row r="30" spans="2:10">
      <c r="B30" s="84"/>
      <c r="C30" s="85"/>
      <c r="D30" s="85"/>
      <c r="E30" s="92" t="s">
        <v>6</v>
      </c>
      <c r="F30" s="85"/>
      <c r="G30" s="93" t="e">
        <f>ROUND(SUM(G25:G28),0)</f>
        <v>#REF!</v>
      </c>
      <c r="I30" s="97"/>
    </row>
    <row r="31" spans="2:10" ht="35.25" customHeight="1">
      <c r="B31" s="311" t="s">
        <v>407</v>
      </c>
      <c r="C31" s="312"/>
      <c r="D31" s="85"/>
      <c r="E31" s="85"/>
      <c r="F31" s="85"/>
      <c r="G31" s="85"/>
      <c r="I31" s="97"/>
      <c r="J31" s="97"/>
    </row>
    <row r="32" spans="2:10">
      <c r="B32" s="84"/>
      <c r="C32" s="85"/>
      <c r="D32" s="85"/>
      <c r="E32" s="85"/>
      <c r="F32" s="85"/>
      <c r="G32" s="85"/>
    </row>
    <row r="33" spans="2:7">
      <c r="B33" s="84"/>
      <c r="C33" s="85"/>
      <c r="D33" s="85"/>
      <c r="E33" s="85"/>
      <c r="F33" s="85"/>
      <c r="G33" s="85"/>
    </row>
    <row r="34" spans="2:7">
      <c r="B34" s="84"/>
      <c r="C34" s="85"/>
      <c r="D34" s="85"/>
      <c r="E34" s="85"/>
      <c r="F34" s="317" t="s">
        <v>408</v>
      </c>
      <c r="G34" s="318"/>
    </row>
    <row r="35" spans="2:7">
      <c r="B35" s="84"/>
      <c r="C35" s="85"/>
      <c r="D35" s="85"/>
      <c r="E35" s="85"/>
      <c r="F35" s="313"/>
      <c r="G35" s="314"/>
    </row>
    <row r="36" spans="2:7">
      <c r="B36" s="84"/>
      <c r="C36" s="85"/>
      <c r="D36" s="85"/>
      <c r="E36" s="85"/>
      <c r="F36" s="315"/>
      <c r="G36" s="316"/>
    </row>
    <row r="37" spans="2:7">
      <c r="B37" s="94"/>
    </row>
  </sheetData>
  <mergeCells count="20">
    <mergeCell ref="F35:G36"/>
    <mergeCell ref="B1:G2"/>
    <mergeCell ref="D28:F28"/>
    <mergeCell ref="B31:C31"/>
    <mergeCell ref="F34:G34"/>
    <mergeCell ref="B3:B6"/>
    <mergeCell ref="D10:D11"/>
    <mergeCell ref="E10:E11"/>
    <mergeCell ref="F10:F11"/>
    <mergeCell ref="G10:G11"/>
    <mergeCell ref="B11:C11"/>
    <mergeCell ref="B12:C12"/>
    <mergeCell ref="B13:C13"/>
    <mergeCell ref="D26:F26"/>
    <mergeCell ref="D27:F27"/>
    <mergeCell ref="C4:G4"/>
    <mergeCell ref="C6:G6"/>
    <mergeCell ref="B8:C8"/>
    <mergeCell ref="B9:C9"/>
    <mergeCell ref="B10:C1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>
    <tabColor theme="0"/>
  </sheetPr>
  <dimension ref="A1:CD51"/>
  <sheetViews>
    <sheetView showGridLines="0" topLeftCell="A43" zoomScale="85" zoomScaleNormal="85" workbookViewId="0">
      <selection activeCell="L61" sqref="L61"/>
    </sheetView>
  </sheetViews>
  <sheetFormatPr defaultColWidth="9" defaultRowHeight="15"/>
  <cols>
    <col min="1" max="1" width="7" customWidth="1"/>
    <col min="2" max="2" width="23.5703125" customWidth="1"/>
    <col min="3" max="3" width="13.7109375" customWidth="1"/>
    <col min="4" max="4" width="26.28515625" customWidth="1"/>
    <col min="8" max="8" width="13.42578125" customWidth="1"/>
    <col min="9" max="9" width="11.28515625" customWidth="1"/>
    <col min="10" max="10" width="10.28515625" customWidth="1"/>
    <col min="16" max="45" width="9.28515625" customWidth="1"/>
    <col min="47" max="53" width="9.28515625" customWidth="1"/>
    <col min="56" max="56" width="12.28515625" customWidth="1"/>
    <col min="59" max="61" width="9.28515625" customWidth="1"/>
  </cols>
  <sheetData>
    <row r="1" spans="1:79">
      <c r="A1" s="5">
        <v>45383</v>
      </c>
    </row>
    <row r="2" spans="1:79" s="1" customFormat="1" ht="79.5">
      <c r="A2" s="6" t="s">
        <v>168</v>
      </c>
      <c r="B2" s="6" t="s">
        <v>169</v>
      </c>
      <c r="C2" s="6" t="s">
        <v>170</v>
      </c>
      <c r="D2" s="6" t="s">
        <v>171</v>
      </c>
      <c r="E2" s="6" t="s">
        <v>409</v>
      </c>
      <c r="F2" s="6" t="s">
        <v>410</v>
      </c>
      <c r="G2" s="7" t="s">
        <v>173</v>
      </c>
      <c r="H2" s="6" t="s">
        <v>174</v>
      </c>
      <c r="I2" s="32" t="s">
        <v>175</v>
      </c>
      <c r="J2" s="6" t="s">
        <v>176</v>
      </c>
      <c r="K2" s="6" t="s">
        <v>177</v>
      </c>
      <c r="L2" s="6" t="s">
        <v>178</v>
      </c>
      <c r="M2" s="6" t="s">
        <v>179</v>
      </c>
      <c r="N2" s="6" t="s">
        <v>180</v>
      </c>
      <c r="O2" s="33" t="s">
        <v>182</v>
      </c>
      <c r="P2" s="33" t="s">
        <v>183</v>
      </c>
      <c r="Q2" s="33" t="s">
        <v>19</v>
      </c>
      <c r="R2" s="33" t="s">
        <v>20</v>
      </c>
      <c r="S2" s="7" t="s">
        <v>184</v>
      </c>
      <c r="T2" s="6" t="s">
        <v>185</v>
      </c>
      <c r="U2" s="7" t="s">
        <v>186</v>
      </c>
      <c r="V2" s="6" t="s">
        <v>23</v>
      </c>
      <c r="W2" s="6" t="s">
        <v>24</v>
      </c>
      <c r="X2" s="6" t="s">
        <v>187</v>
      </c>
      <c r="Y2" s="6" t="s">
        <v>188</v>
      </c>
      <c r="Z2" s="6" t="s">
        <v>189</v>
      </c>
      <c r="AA2" s="7" t="s">
        <v>190</v>
      </c>
      <c r="AB2" s="6" t="s">
        <v>184</v>
      </c>
      <c r="AC2" s="6" t="s">
        <v>185</v>
      </c>
      <c r="AD2" s="6" t="s">
        <v>186</v>
      </c>
      <c r="AE2" s="6" t="s">
        <v>23</v>
      </c>
      <c r="AF2" s="6" t="s">
        <v>24</v>
      </c>
      <c r="AG2" s="6" t="s">
        <v>187</v>
      </c>
      <c r="AH2" s="6" t="s">
        <v>188</v>
      </c>
      <c r="AI2" s="6" t="s">
        <v>411</v>
      </c>
      <c r="AJ2" s="6" t="s">
        <v>189</v>
      </c>
      <c r="AK2" s="6" t="s">
        <v>190</v>
      </c>
      <c r="AL2" s="6" t="s">
        <v>412</v>
      </c>
      <c r="AM2" s="6" t="s">
        <v>192</v>
      </c>
      <c r="AN2" s="6" t="s">
        <v>193</v>
      </c>
      <c r="AO2" s="6" t="s">
        <v>194</v>
      </c>
      <c r="AP2" s="6" t="s">
        <v>195</v>
      </c>
      <c r="AQ2" s="6" t="s">
        <v>196</v>
      </c>
      <c r="AR2" s="6" t="s">
        <v>197</v>
      </c>
      <c r="AS2" s="6" t="s">
        <v>198</v>
      </c>
      <c r="AT2" s="6" t="s">
        <v>199</v>
      </c>
      <c r="AU2" s="6" t="s">
        <v>200</v>
      </c>
      <c r="AV2" s="6" t="s">
        <v>201</v>
      </c>
      <c r="AW2" s="6" t="s">
        <v>202</v>
      </c>
      <c r="AX2" s="6" t="s">
        <v>203</v>
      </c>
      <c r="AY2" s="6" t="s">
        <v>204</v>
      </c>
      <c r="AZ2" s="6" t="s">
        <v>205</v>
      </c>
      <c r="BA2" s="45"/>
      <c r="BB2" s="46" t="s">
        <v>206</v>
      </c>
      <c r="BC2" s="47" t="s">
        <v>207</v>
      </c>
      <c r="BD2" s="6" t="s">
        <v>208</v>
      </c>
      <c r="BE2" s="61" t="s">
        <v>413</v>
      </c>
      <c r="BF2" s="6" t="s">
        <v>210</v>
      </c>
      <c r="BG2" s="6" t="s">
        <v>211</v>
      </c>
      <c r="BH2" s="1" t="s">
        <v>414</v>
      </c>
      <c r="BJ2" s="62" t="s">
        <v>212</v>
      </c>
      <c r="BK2" s="62" t="s">
        <v>213</v>
      </c>
      <c r="BL2" s="62" t="s">
        <v>109</v>
      </c>
      <c r="BM2" s="62" t="s">
        <v>214</v>
      </c>
      <c r="BN2" s="62" t="s">
        <v>215</v>
      </c>
      <c r="BO2" s="62" t="s">
        <v>216</v>
      </c>
      <c r="BP2" s="62" t="s">
        <v>217</v>
      </c>
      <c r="BQ2" s="78" t="s">
        <v>218</v>
      </c>
      <c r="BR2" s="62" t="s">
        <v>219</v>
      </c>
      <c r="BS2" s="62" t="s">
        <v>220</v>
      </c>
      <c r="BT2" s="62" t="s">
        <v>221</v>
      </c>
      <c r="BU2" s="62" t="s">
        <v>220</v>
      </c>
      <c r="BV2" s="62" t="s">
        <v>218</v>
      </c>
      <c r="BW2" s="79" t="s">
        <v>222</v>
      </c>
      <c r="BX2" s="79" t="s">
        <v>223</v>
      </c>
      <c r="BY2" s="79" t="s">
        <v>224</v>
      </c>
      <c r="BZ2" s="79" t="s">
        <v>225</v>
      </c>
      <c r="CA2" s="79"/>
    </row>
    <row r="3" spans="1:79">
      <c r="A3" s="8">
        <v>11</v>
      </c>
      <c r="B3" s="9" t="s">
        <v>415</v>
      </c>
      <c r="C3" s="8"/>
      <c r="D3" s="10" t="s">
        <v>416</v>
      </c>
      <c r="E3" s="10" t="s">
        <v>416</v>
      </c>
      <c r="F3" s="11" t="s">
        <v>417</v>
      </c>
      <c r="G3" s="12">
        <v>101731821650</v>
      </c>
      <c r="H3" s="8">
        <v>7011527236</v>
      </c>
      <c r="I3" s="34">
        <v>45327</v>
      </c>
      <c r="J3" s="8" t="s">
        <v>418</v>
      </c>
      <c r="K3" s="8" t="s">
        <v>230</v>
      </c>
      <c r="L3" s="8" t="s">
        <v>231</v>
      </c>
      <c r="M3" s="16" t="s">
        <v>4</v>
      </c>
      <c r="N3" s="16" t="s">
        <v>232</v>
      </c>
      <c r="O3" s="8">
        <v>31</v>
      </c>
      <c r="P3" s="35">
        <v>0</v>
      </c>
      <c r="Q3" s="35">
        <v>0</v>
      </c>
      <c r="R3" s="8">
        <v>0</v>
      </c>
      <c r="S3" s="8">
        <v>11808</v>
      </c>
      <c r="T3" s="8">
        <v>0</v>
      </c>
      <c r="U3" s="8">
        <f>S3+T3</f>
        <v>11808</v>
      </c>
      <c r="V3" s="8">
        <v>281</v>
      </c>
      <c r="W3" s="8">
        <v>0</v>
      </c>
      <c r="X3" s="8">
        <v>0</v>
      </c>
      <c r="Y3" s="8">
        <v>1476</v>
      </c>
      <c r="Z3" s="8">
        <v>984</v>
      </c>
      <c r="AA3" s="8">
        <f>SUM(U3:Z3)</f>
        <v>14549</v>
      </c>
      <c r="AB3" s="8">
        <f>ROUND(S3/O3*P3,0)</f>
        <v>0</v>
      </c>
      <c r="AC3" s="8">
        <f>ROUND(T3/O3*P3,0)</f>
        <v>0</v>
      </c>
      <c r="AD3" s="8">
        <f>AB3+AC3</f>
        <v>0</v>
      </c>
      <c r="AE3" s="8">
        <f>ROUND(V3/O3*P3,0)</f>
        <v>0</v>
      </c>
      <c r="AF3" s="8">
        <f>ROUND(W3/O3*P3,0)</f>
        <v>0</v>
      </c>
      <c r="AG3" s="8">
        <f>ROUND(X3/O3*P3,0)</f>
        <v>0</v>
      </c>
      <c r="AH3" s="8">
        <f>ROUND(Y3/O3*P3,0)</f>
        <v>0</v>
      </c>
      <c r="AI3" s="8">
        <f>ROUND((S3/26)/4*R3,0)</f>
        <v>0</v>
      </c>
      <c r="AJ3" s="8">
        <f>ROUND(Z3/O3*P3,0)</f>
        <v>0</v>
      </c>
      <c r="AK3" s="8">
        <f>ROUND(SUM(AD3:AJ3),0)</f>
        <v>0</v>
      </c>
      <c r="AL3" s="8">
        <f>ROUND(AA3/O3*Q3,0)</f>
        <v>0</v>
      </c>
      <c r="AM3" s="8">
        <f>ROUND(IF(U3&gt;15000,IF(P3&lt;O3,ROUND(15000/O3*P3,0),15000),IF(AD3&gt;U3,U3,AD3)),0)</f>
        <v>0</v>
      </c>
      <c r="AN3" s="8">
        <f>ROUND(AM3*13%,0)</f>
        <v>0</v>
      </c>
      <c r="AO3" s="43">
        <f>IF(AA3&gt;=21000,0,AK3*3.25%)</f>
        <v>0</v>
      </c>
      <c r="AP3" s="8">
        <v>5.83</v>
      </c>
      <c r="AQ3" s="40">
        <f>SUM(AN3:AP3)</f>
        <v>5.83</v>
      </c>
      <c r="AR3" s="43">
        <f>AK3+AQ3</f>
        <v>5.83</v>
      </c>
      <c r="AS3" s="8">
        <f>ROUND(30/O3*P3,0)</f>
        <v>0</v>
      </c>
      <c r="AT3" s="8">
        <f>ROUND(AR3+AS3,0)</f>
        <v>6</v>
      </c>
      <c r="AU3" s="8">
        <f>ROUND(AM3*12%,0)</f>
        <v>0</v>
      </c>
      <c r="AV3" s="8">
        <f>IF(AA3&gt;21000,0,CEILING(AK3*0.75%,1))</f>
        <v>0</v>
      </c>
      <c r="AW3" s="48">
        <v>2.5</v>
      </c>
      <c r="AX3" s="8">
        <f>IF(AK3&gt;20000,200,IF(AK3&gt;15000,150,0))</f>
        <v>0</v>
      </c>
      <c r="AY3" s="8">
        <f>SUM(AU3:AX3)</f>
        <v>2.5</v>
      </c>
      <c r="AZ3" s="8">
        <f>ROUND(AK3-AY3+AL3,0)</f>
        <v>-3</v>
      </c>
      <c r="BB3" s="10" t="s">
        <v>416</v>
      </c>
      <c r="BC3" s="49">
        <v>34712210026925</v>
      </c>
      <c r="BD3" s="11" t="s">
        <v>419</v>
      </c>
      <c r="BE3" s="63" t="s">
        <v>420</v>
      </c>
      <c r="BF3" s="8">
        <f>AZ3</f>
        <v>-3</v>
      </c>
      <c r="BG3" s="64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 t="s">
        <v>421</v>
      </c>
      <c r="BZ3" s="8" t="s">
        <v>422</v>
      </c>
      <c r="CA3" s="8"/>
    </row>
    <row r="4" spans="1:79">
      <c r="A4" s="8">
        <v>12</v>
      </c>
      <c r="B4" s="9" t="s">
        <v>423</v>
      </c>
      <c r="C4" s="8"/>
      <c r="D4" s="10" t="s">
        <v>424</v>
      </c>
      <c r="E4" s="10" t="s">
        <v>424</v>
      </c>
      <c r="F4" s="11" t="s">
        <v>425</v>
      </c>
      <c r="G4" s="12">
        <v>101731905060</v>
      </c>
      <c r="H4" s="8">
        <v>7011527240</v>
      </c>
      <c r="I4" s="34">
        <v>45327</v>
      </c>
      <c r="J4" s="8" t="s">
        <v>418</v>
      </c>
      <c r="K4" s="8" t="s">
        <v>230</v>
      </c>
      <c r="L4" s="8" t="s">
        <v>231</v>
      </c>
      <c r="M4" s="16" t="s">
        <v>4</v>
      </c>
      <c r="N4" s="16" t="s">
        <v>232</v>
      </c>
      <c r="O4" s="8">
        <v>31</v>
      </c>
      <c r="P4" s="35">
        <v>0</v>
      </c>
      <c r="Q4" s="35">
        <v>0</v>
      </c>
      <c r="R4" s="8">
        <v>0</v>
      </c>
      <c r="S4" s="8">
        <v>11808</v>
      </c>
      <c r="T4" s="8">
        <v>0</v>
      </c>
      <c r="U4" s="8">
        <f>S4+T4</f>
        <v>11808</v>
      </c>
      <c r="V4" s="8">
        <v>281</v>
      </c>
      <c r="W4" s="8">
        <v>0</v>
      </c>
      <c r="X4" s="8">
        <v>0</v>
      </c>
      <c r="Y4" s="8">
        <v>1476</v>
      </c>
      <c r="Z4" s="8">
        <v>984</v>
      </c>
      <c r="AA4" s="8">
        <f>SUM(U4:Z4)</f>
        <v>14549</v>
      </c>
      <c r="AB4" s="8">
        <f>ROUND(S4/O4*P4,0)</f>
        <v>0</v>
      </c>
      <c r="AC4" s="8">
        <f>ROUND(T4/O4*P4,0)</f>
        <v>0</v>
      </c>
      <c r="AD4" s="8">
        <f>AB4+AC4</f>
        <v>0</v>
      </c>
      <c r="AE4" s="8">
        <f>ROUND(V4/O4*P4,0)</f>
        <v>0</v>
      </c>
      <c r="AF4" s="8">
        <f>ROUND(W4/O4*P4,0)</f>
        <v>0</v>
      </c>
      <c r="AG4" s="8">
        <f>ROUND(X4/O4*P4,0)</f>
        <v>0</v>
      </c>
      <c r="AH4" s="8">
        <f>ROUND(Y4/O4*P4,0)</f>
        <v>0</v>
      </c>
      <c r="AI4" s="8">
        <f>ROUND((S4/26)/4*R4,0)</f>
        <v>0</v>
      </c>
      <c r="AJ4" s="8">
        <f>ROUND(Z4/O4*P4,0)</f>
        <v>0</v>
      </c>
      <c r="AK4" s="8">
        <f>ROUND(SUM(AD4:AJ4),0)</f>
        <v>0</v>
      </c>
      <c r="AL4" s="8">
        <f>ROUND(AA4/O4*Q4,0)</f>
        <v>0</v>
      </c>
      <c r="AM4" s="8">
        <f>ROUND(IF(U4&gt;15000,IF(P4&lt;O4,ROUND(15000/O4*P4,0),15000),IF(AD4&gt;U4,U4,AD4)),0)</f>
        <v>0</v>
      </c>
      <c r="AN4" s="8">
        <f>ROUND(AM4*13%,0)</f>
        <v>0</v>
      </c>
      <c r="AO4" s="43">
        <f>IF(AA4&gt;=21000,0,AK4*3.25%)</f>
        <v>0</v>
      </c>
      <c r="AP4" s="8">
        <v>5.83</v>
      </c>
      <c r="AQ4" s="40">
        <f>SUM(AN4:AP4)</f>
        <v>5.83</v>
      </c>
      <c r="AR4" s="43">
        <f>AK4+AQ4</f>
        <v>5.83</v>
      </c>
      <c r="AS4" s="8">
        <f>ROUND(30/O4*P4,0)</f>
        <v>0</v>
      </c>
      <c r="AT4" s="43">
        <f>ROUND(AR4+AS4,0)</f>
        <v>6</v>
      </c>
      <c r="AU4" s="8">
        <f>ROUND(AM4*12%,0)</f>
        <v>0</v>
      </c>
      <c r="AV4" s="8">
        <f>IF(AA4&gt;21000,0,CEILING(AK4*0.75%,1))</f>
        <v>0</v>
      </c>
      <c r="AW4" s="48">
        <v>2.5</v>
      </c>
      <c r="AX4" s="8">
        <f>IF(AK4&gt;20000,200,IF(AK4&gt;15000,150,0))</f>
        <v>0</v>
      </c>
      <c r="AY4" s="8">
        <f>SUM(AU4:AX4)</f>
        <v>2.5</v>
      </c>
      <c r="AZ4" s="8">
        <f>ROUND(AK4-AY4+AL4,0)</f>
        <v>-3</v>
      </c>
      <c r="BB4" s="10" t="s">
        <v>424</v>
      </c>
      <c r="BC4" s="49">
        <v>62390421953</v>
      </c>
      <c r="BD4" s="11" t="s">
        <v>426</v>
      </c>
      <c r="BE4" s="63" t="s">
        <v>427</v>
      </c>
      <c r="BF4" s="8">
        <f>AZ4</f>
        <v>-3</v>
      </c>
      <c r="BG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 t="s">
        <v>421</v>
      </c>
      <c r="BZ4" s="8" t="s">
        <v>422</v>
      </c>
      <c r="CA4" s="8"/>
    </row>
    <row r="6" spans="1:79">
      <c r="A6" t="s">
        <v>428</v>
      </c>
      <c r="B6" t="s">
        <v>429</v>
      </c>
    </row>
    <row r="7" spans="1:79">
      <c r="A7" s="8">
        <v>6</v>
      </c>
      <c r="B7" s="9" t="s">
        <v>430</v>
      </c>
      <c r="C7" s="8"/>
      <c r="D7" s="11" t="s">
        <v>431</v>
      </c>
      <c r="E7" s="11" t="s">
        <v>431</v>
      </c>
      <c r="F7" s="11" t="s">
        <v>432</v>
      </c>
      <c r="G7" s="12">
        <v>101787561552</v>
      </c>
      <c r="H7" s="8">
        <v>3313661083</v>
      </c>
      <c r="I7" s="34">
        <v>45327</v>
      </c>
      <c r="J7" s="8" t="s">
        <v>418</v>
      </c>
      <c r="K7" s="8" t="s">
        <v>230</v>
      </c>
      <c r="L7" s="8" t="s">
        <v>231</v>
      </c>
      <c r="M7" s="16" t="s">
        <v>4</v>
      </c>
      <c r="N7" s="16" t="s">
        <v>232</v>
      </c>
      <c r="O7" s="8">
        <v>31</v>
      </c>
      <c r="P7" s="35">
        <v>31</v>
      </c>
      <c r="Q7" s="35">
        <v>0</v>
      </c>
      <c r="R7" s="8">
        <v>0</v>
      </c>
      <c r="S7" s="8">
        <v>12339</v>
      </c>
      <c r="T7" s="8">
        <v>0</v>
      </c>
      <c r="U7" s="8">
        <f>S7+T7</f>
        <v>12339</v>
      </c>
      <c r="V7" s="8">
        <v>281</v>
      </c>
      <c r="W7" s="8">
        <v>0</v>
      </c>
      <c r="X7" s="8">
        <v>0</v>
      </c>
      <c r="Y7" s="8">
        <v>1542</v>
      </c>
      <c r="Z7" s="8">
        <v>1028</v>
      </c>
      <c r="AA7" s="8">
        <f>SUM(U7:Z7)</f>
        <v>15190</v>
      </c>
      <c r="AB7" s="8">
        <f>ROUND(S7/O7*P7,0)</f>
        <v>12339</v>
      </c>
      <c r="AC7" s="8">
        <f>ROUND(T7/O7*P7,0)</f>
        <v>0</v>
      </c>
      <c r="AD7" s="8">
        <f>AB7+AC7</f>
        <v>12339</v>
      </c>
      <c r="AE7" s="8">
        <f>ROUND(V7/O7*P7,0)</f>
        <v>281</v>
      </c>
      <c r="AF7" s="8">
        <f>ROUND(W7/O7*P7,0)</f>
        <v>0</v>
      </c>
      <c r="AG7" s="8">
        <f>ROUND(X7/O7*P7,0)</f>
        <v>0</v>
      </c>
      <c r="AH7" s="8">
        <f>ROUND(Y7/O7*P7,0)</f>
        <v>1542</v>
      </c>
      <c r="AI7" s="8">
        <f>ROUND((S7/26)/4*R7,0)</f>
        <v>0</v>
      </c>
      <c r="AJ7" s="8">
        <f>ROUND(Z7/O7*P7,0)</f>
        <v>1028</v>
      </c>
      <c r="AK7" s="8">
        <f>ROUND(SUM(AD7:AJ7),0)</f>
        <v>15190</v>
      </c>
      <c r="AL7" s="8">
        <f>ROUND(AA7/O7*Q7,0)</f>
        <v>0</v>
      </c>
      <c r="AM7" s="8">
        <f>ROUND(IF(U7&gt;15000,IF(P7&lt;O7,ROUND(15000/O7*P7,0),15000),IF(AD7&gt;U7,U7,AD7)),0)</f>
        <v>12339</v>
      </c>
      <c r="AN7" s="8">
        <f>ROUND(AM7*13%,0)</f>
        <v>1604</v>
      </c>
      <c r="AO7" s="43">
        <f>IF(AA7&gt;=21000,0,AK7*3.25%)</f>
        <v>493.67500000000001</v>
      </c>
      <c r="AP7" s="8">
        <v>5.83</v>
      </c>
      <c r="AQ7" s="40">
        <f>SUM(AN7:AP7)</f>
        <v>2103.5050000000001</v>
      </c>
      <c r="AR7" s="43">
        <f>AK7+AQ7</f>
        <v>17293.505000000001</v>
      </c>
      <c r="AS7" s="8">
        <f>ROUND(30/O7*P7,0)</f>
        <v>30</v>
      </c>
      <c r="AT7" s="43">
        <f>ROUND(AR7+AS7,0)</f>
        <v>17324</v>
      </c>
      <c r="AU7" s="8">
        <f>ROUND(AM7*12%,0)</f>
        <v>1481</v>
      </c>
      <c r="AV7" s="8">
        <f>IF(AA7&gt;21000,0,CEILING(AK7*0.75%,1))</f>
        <v>114</v>
      </c>
      <c r="AW7" s="48">
        <v>2.5</v>
      </c>
      <c r="AX7" s="8">
        <f>IF(AK7&gt;20000,200,IF(AK7&gt;15000,150,0))</f>
        <v>150</v>
      </c>
      <c r="AY7" s="8">
        <f>SUM(AU7:AX7)</f>
        <v>1747.5</v>
      </c>
      <c r="AZ7" s="8">
        <f>ROUND(AK7-AY7+AL7,0)</f>
        <v>13443</v>
      </c>
      <c r="BB7" s="11" t="s">
        <v>431</v>
      </c>
      <c r="BC7" s="49">
        <v>33498914194</v>
      </c>
      <c r="BD7" s="11" t="s">
        <v>433</v>
      </c>
      <c r="BE7" s="63" t="s">
        <v>427</v>
      </c>
      <c r="BF7" s="8">
        <f>AZ7</f>
        <v>13443</v>
      </c>
      <c r="BG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 t="s">
        <v>421</v>
      </c>
      <c r="BZ7" s="8" t="s">
        <v>422</v>
      </c>
      <c r="CA7" s="8"/>
    </row>
    <row r="8" spans="1:79">
      <c r="A8" s="8">
        <v>7</v>
      </c>
      <c r="B8" s="9" t="s">
        <v>434</v>
      </c>
      <c r="C8" s="8"/>
      <c r="D8" s="11" t="s">
        <v>435</v>
      </c>
      <c r="E8" s="11" t="s">
        <v>435</v>
      </c>
      <c r="F8" s="11" t="s">
        <v>436</v>
      </c>
      <c r="G8" s="12">
        <v>101932949853</v>
      </c>
      <c r="H8" s="13" t="s">
        <v>437</v>
      </c>
      <c r="I8" s="34">
        <v>45327</v>
      </c>
      <c r="J8" s="8" t="s">
        <v>418</v>
      </c>
      <c r="K8" s="8" t="s">
        <v>230</v>
      </c>
      <c r="L8" s="8" t="s">
        <v>231</v>
      </c>
      <c r="M8" s="16" t="s">
        <v>438</v>
      </c>
      <c r="N8" s="16" t="s">
        <v>439</v>
      </c>
      <c r="O8" s="8">
        <v>31</v>
      </c>
      <c r="P8" s="35">
        <v>31</v>
      </c>
      <c r="Q8" s="35">
        <v>0</v>
      </c>
      <c r="R8" s="8">
        <v>0</v>
      </c>
      <c r="S8" s="8">
        <v>12959</v>
      </c>
      <c r="T8" s="8">
        <v>0</v>
      </c>
      <c r="U8" s="8">
        <f>S8+T8</f>
        <v>12959</v>
      </c>
      <c r="V8" s="8"/>
      <c r="W8" s="8">
        <v>0</v>
      </c>
      <c r="X8" s="8">
        <v>0</v>
      </c>
      <c r="Y8" s="8">
        <v>1620</v>
      </c>
      <c r="Z8" s="8">
        <v>1079</v>
      </c>
      <c r="AA8" s="8">
        <f>SUM(U8:Z8)</f>
        <v>15658</v>
      </c>
      <c r="AB8" s="8">
        <f>ROUND(S8/O8*P8,0)</f>
        <v>12959</v>
      </c>
      <c r="AC8" s="8">
        <f>ROUND(T8/O8*P8,0)</f>
        <v>0</v>
      </c>
      <c r="AD8" s="8">
        <f>AB8+AC8</f>
        <v>12959</v>
      </c>
      <c r="AE8" s="8">
        <f>ROUND(V8/O8*P8,0)</f>
        <v>0</v>
      </c>
      <c r="AF8" s="8">
        <f>ROUND(W8/O8*P8,0)</f>
        <v>0</v>
      </c>
      <c r="AG8" s="8">
        <f>ROUND(X8/O8*P8,0)</f>
        <v>0</v>
      </c>
      <c r="AH8" s="8">
        <f>ROUND(Y8/O8*P8,0)</f>
        <v>1620</v>
      </c>
      <c r="AI8" s="8">
        <f>ROUND((S8/26)/4*R8,0)</f>
        <v>0</v>
      </c>
      <c r="AJ8" s="8">
        <f>ROUND(Z8/O8*P8,0)</f>
        <v>1079</v>
      </c>
      <c r="AK8" s="8">
        <f>ROUND(SUM(AD8:AJ8),0)</f>
        <v>15658</v>
      </c>
      <c r="AL8" s="8">
        <f>ROUND(AA8/O8*Q8,0)</f>
        <v>0</v>
      </c>
      <c r="AM8" s="8">
        <f>ROUND(IF(U8&gt;15000,IF(P8&lt;O8,ROUND(15000/O8*P8,0),15000),IF(AD8&gt;U8,U8,AD8)),0)</f>
        <v>12959</v>
      </c>
      <c r="AN8" s="8">
        <f>ROUND(AM8*13%,0)</f>
        <v>1685</v>
      </c>
      <c r="AO8" s="43">
        <f>IF(AA8&gt;=21000,0,AK8*3.25%)</f>
        <v>508.88499999999999</v>
      </c>
      <c r="AP8" s="8">
        <v>5.83</v>
      </c>
      <c r="AQ8" s="40">
        <f>SUM(AN8:AP8)</f>
        <v>2199.7150000000001</v>
      </c>
      <c r="AR8" s="43">
        <f>AK8+AQ8</f>
        <v>17857.715</v>
      </c>
      <c r="AS8" s="8">
        <f>ROUND(30/O8*P8,0)</f>
        <v>30</v>
      </c>
      <c r="AT8" s="43">
        <f>ROUND(AR8+AS8,0)</f>
        <v>17888</v>
      </c>
      <c r="AU8" s="8">
        <f>ROUND(AM8*12%,0)</f>
        <v>1555</v>
      </c>
      <c r="AV8" s="8">
        <f>IF(AA8&gt;21000,0,CEILING(AK8*0.75%,1))</f>
        <v>118</v>
      </c>
      <c r="AW8" s="48">
        <v>2.5</v>
      </c>
      <c r="AX8" s="8">
        <f>IF(AK8&gt;20000,200,IF(AK8&gt;15000,150,0))</f>
        <v>150</v>
      </c>
      <c r="AY8" s="8">
        <f>SUM(AU8:AX8)</f>
        <v>1825.5</v>
      </c>
      <c r="AZ8" s="8">
        <f>ROUND(AK8-AY8+AL8,0)</f>
        <v>13833</v>
      </c>
      <c r="BB8" s="11" t="s">
        <v>435</v>
      </c>
      <c r="BC8" s="49">
        <v>31770075478</v>
      </c>
      <c r="BD8" s="11" t="s">
        <v>440</v>
      </c>
      <c r="BE8" s="63" t="s">
        <v>427</v>
      </c>
      <c r="BF8" s="8">
        <f>AZ8</f>
        <v>13833</v>
      </c>
      <c r="BG8" s="64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 t="s">
        <v>421</v>
      </c>
      <c r="BZ8" s="8" t="s">
        <v>422</v>
      </c>
      <c r="CA8" s="8"/>
    </row>
    <row r="9" spans="1:79">
      <c r="A9" s="8">
        <v>9</v>
      </c>
      <c r="B9" s="9" t="s">
        <v>441</v>
      </c>
      <c r="C9" s="8"/>
      <c r="D9" s="10" t="s">
        <v>442</v>
      </c>
      <c r="E9" s="10" t="s">
        <v>442</v>
      </c>
      <c r="F9" s="11" t="s">
        <v>443</v>
      </c>
      <c r="G9" s="12">
        <v>101730545701</v>
      </c>
      <c r="H9" s="8">
        <v>7011527226</v>
      </c>
      <c r="I9" s="34">
        <v>45327</v>
      </c>
      <c r="J9" s="8" t="s">
        <v>418</v>
      </c>
      <c r="K9" s="8" t="s">
        <v>230</v>
      </c>
      <c r="L9" s="8" t="s">
        <v>231</v>
      </c>
      <c r="M9" s="16" t="s">
        <v>4</v>
      </c>
      <c r="N9" s="16" t="s">
        <v>232</v>
      </c>
      <c r="O9" s="8">
        <v>31</v>
      </c>
      <c r="P9" s="35">
        <v>31</v>
      </c>
      <c r="Q9" s="35">
        <v>0</v>
      </c>
      <c r="R9" s="8">
        <v>0</v>
      </c>
      <c r="S9" s="8">
        <v>12339</v>
      </c>
      <c r="T9" s="8">
        <v>0</v>
      </c>
      <c r="U9" s="8">
        <f>S9+T9</f>
        <v>12339</v>
      </c>
      <c r="V9" s="8">
        <v>281</v>
      </c>
      <c r="W9" s="8">
        <v>0</v>
      </c>
      <c r="X9" s="8">
        <v>0</v>
      </c>
      <c r="Y9" s="8">
        <v>1542</v>
      </c>
      <c r="Z9" s="8">
        <v>1028</v>
      </c>
      <c r="AA9" s="8">
        <f>SUM(U9:Z9)</f>
        <v>15190</v>
      </c>
      <c r="AB9" s="8">
        <f>ROUND(S9/O9*P9,0)</f>
        <v>12339</v>
      </c>
      <c r="AC9" s="8">
        <f>ROUND(T9/O9*P9,0)</f>
        <v>0</v>
      </c>
      <c r="AD9" s="8">
        <f>AB9+AC9</f>
        <v>12339</v>
      </c>
      <c r="AE9" s="8">
        <f>ROUND(V9/O9*P9,0)</f>
        <v>281</v>
      </c>
      <c r="AF9" s="8">
        <f>ROUND(W9/O9*P9,0)</f>
        <v>0</v>
      </c>
      <c r="AG9" s="8">
        <f>ROUND(X9/O9*P9,0)</f>
        <v>0</v>
      </c>
      <c r="AH9" s="8">
        <f>ROUND(Y9/O9*P9,0)</f>
        <v>1542</v>
      </c>
      <c r="AI9" s="8">
        <f>ROUND((S9/26)/4*R9,0)</f>
        <v>0</v>
      </c>
      <c r="AJ9" s="8">
        <f>ROUND(Z9/O9*P9,0)</f>
        <v>1028</v>
      </c>
      <c r="AK9" s="8">
        <f>ROUND(SUM(AD9:AJ9),0)</f>
        <v>15190</v>
      </c>
      <c r="AL9" s="8">
        <f>ROUND(AA9/O9*Q9,0)</f>
        <v>0</v>
      </c>
      <c r="AM9" s="8">
        <f>ROUND(IF(U9&gt;15000,IF(P9&lt;O9,ROUND(15000/O9*P9,0),15000),IF(AD9&gt;U9,U9,AD9)),0)</f>
        <v>12339</v>
      </c>
      <c r="AN9" s="8">
        <f>ROUND(AM9*13%,0)</f>
        <v>1604</v>
      </c>
      <c r="AO9" s="43">
        <f>IF(AA9&gt;=21000,0,AK9*3.25%)</f>
        <v>493.67500000000001</v>
      </c>
      <c r="AP9" s="8">
        <v>5.83</v>
      </c>
      <c r="AQ9" s="40">
        <f>SUM(AN9:AP9)</f>
        <v>2103.5050000000001</v>
      </c>
      <c r="AR9" s="43">
        <f>AK9+AQ9</f>
        <v>17293.505000000001</v>
      </c>
      <c r="AS9" s="8">
        <f>ROUND(30/O9*P9,0)</f>
        <v>30</v>
      </c>
      <c r="AT9" s="43">
        <f>ROUND(AR9+AS9,0)</f>
        <v>17324</v>
      </c>
      <c r="AU9" s="8">
        <f>ROUND(AM9*12%,0)</f>
        <v>1481</v>
      </c>
      <c r="AV9" s="8">
        <f>IF(AA9&gt;21000,0,CEILING(AK9*0.75%,1))</f>
        <v>114</v>
      </c>
      <c r="AW9" s="48">
        <v>2.5</v>
      </c>
      <c r="AX9" s="8">
        <f>IF(AK9&gt;20000,200,IF(AK9&gt;15000,150,0))</f>
        <v>150</v>
      </c>
      <c r="AY9" s="8">
        <f>SUM(AU9:AX9)</f>
        <v>1747.5</v>
      </c>
      <c r="AZ9" s="8">
        <f>ROUND(AK9-AY9+AL9,0)</f>
        <v>13443</v>
      </c>
      <c r="BB9" s="10" t="s">
        <v>442</v>
      </c>
      <c r="BC9" s="49">
        <v>8548101008893</v>
      </c>
      <c r="BD9" s="11" t="s">
        <v>444</v>
      </c>
      <c r="BE9" s="63" t="s">
        <v>420</v>
      </c>
      <c r="BF9" s="8">
        <f>AZ9</f>
        <v>13443</v>
      </c>
      <c r="BG9" s="64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 t="s">
        <v>421</v>
      </c>
      <c r="BZ9" s="8" t="s">
        <v>422</v>
      </c>
      <c r="CA9" s="8"/>
    </row>
    <row r="11" spans="1:79">
      <c r="A11" t="s">
        <v>445</v>
      </c>
      <c r="B11" s="14" t="s">
        <v>446</v>
      </c>
    </row>
    <row r="12" spans="1:79">
      <c r="A12" s="8">
        <v>4</v>
      </c>
      <c r="B12" s="9" t="s">
        <v>447</v>
      </c>
      <c r="C12" s="8"/>
      <c r="D12" s="11" t="s">
        <v>448</v>
      </c>
      <c r="E12" s="11" t="s">
        <v>448</v>
      </c>
      <c r="F12" s="11" t="s">
        <v>449</v>
      </c>
      <c r="G12" s="12">
        <v>101880328641</v>
      </c>
      <c r="H12" s="8">
        <v>3314487374</v>
      </c>
      <c r="I12" s="34">
        <v>45327</v>
      </c>
      <c r="J12" s="8" t="s">
        <v>418</v>
      </c>
      <c r="K12" s="8" t="s">
        <v>230</v>
      </c>
      <c r="L12" s="8" t="s">
        <v>231</v>
      </c>
      <c r="M12" s="16" t="s">
        <v>4</v>
      </c>
      <c r="N12" s="16" t="s">
        <v>232</v>
      </c>
      <c r="O12" s="8">
        <v>30</v>
      </c>
      <c r="P12" s="35">
        <v>30</v>
      </c>
      <c r="Q12" s="35">
        <v>0</v>
      </c>
      <c r="R12" s="8">
        <v>0</v>
      </c>
      <c r="S12" s="8">
        <v>12339</v>
      </c>
      <c r="T12" s="8">
        <v>0</v>
      </c>
      <c r="U12" s="8">
        <f>S12+T12</f>
        <v>12339</v>
      </c>
      <c r="V12" s="8">
        <v>281</v>
      </c>
      <c r="W12" s="8">
        <v>0</v>
      </c>
      <c r="X12" s="8">
        <v>0</v>
      </c>
      <c r="Y12" s="8">
        <v>1542</v>
      </c>
      <c r="Z12" s="8">
        <v>1028</v>
      </c>
      <c r="AA12" s="8">
        <f>SUM(U12:Z12)</f>
        <v>15190</v>
      </c>
      <c r="AB12" s="8">
        <f>ROUND(S12/O12*P12,0)</f>
        <v>12339</v>
      </c>
      <c r="AC12" s="8">
        <f>ROUND(T12/O12*P12,0)</f>
        <v>0</v>
      </c>
      <c r="AD12" s="8">
        <f>AB12+AC12</f>
        <v>12339</v>
      </c>
      <c r="AE12" s="8">
        <f>ROUND(V12/O12*P12,0)</f>
        <v>281</v>
      </c>
      <c r="AF12" s="8">
        <f>ROUND(W12/O12*P12,0)</f>
        <v>0</v>
      </c>
      <c r="AG12" s="8">
        <f>ROUND(X12/O12*P12,0)</f>
        <v>0</v>
      </c>
      <c r="AH12" s="8">
        <f>ROUND(Y12/O12*P12,0)</f>
        <v>1542</v>
      </c>
      <c r="AI12" s="8">
        <f>ROUND((S12/26)/4*R12,0)</f>
        <v>0</v>
      </c>
      <c r="AJ12" s="8">
        <f>ROUND(Z12/O12*P12,0)</f>
        <v>1028</v>
      </c>
      <c r="AK12" s="8">
        <f>ROUND(SUM(AD12:AJ12),0)</f>
        <v>15190</v>
      </c>
      <c r="AL12" s="8">
        <f>ROUND(AA12/O12*Q12,0)</f>
        <v>0</v>
      </c>
      <c r="AM12" s="8">
        <f>ROUND(IF(U12&gt;15000,IF(P12&lt;O12,ROUND(15000/O12*P12,0),15000),IF(AD12&gt;U12,U12,AD12)),0)</f>
        <v>12339</v>
      </c>
      <c r="AN12" s="8">
        <f>ROUND(AM12*13%,0)</f>
        <v>1604</v>
      </c>
      <c r="AO12" s="43">
        <f>IF(AA12&gt;=21000,0,AK12*3.25%)</f>
        <v>493.67500000000001</v>
      </c>
      <c r="AP12" s="8">
        <v>5.83</v>
      </c>
      <c r="AQ12" s="40">
        <f>SUM(AN12:AP12)</f>
        <v>2103.5050000000001</v>
      </c>
      <c r="AR12" s="43">
        <f>AK12+AQ12</f>
        <v>17293.505000000001</v>
      </c>
      <c r="AS12" s="8"/>
      <c r="AT12" s="43">
        <f>ROUND(AR12+AS12,0)</f>
        <v>17294</v>
      </c>
      <c r="AU12" s="8">
        <f>ROUND(AM12*12%,0)</f>
        <v>1481</v>
      </c>
      <c r="AV12" s="8">
        <f>IF(AA12&gt;21000,0,CEILING(AK12*0.75%,1))</f>
        <v>114</v>
      </c>
      <c r="AW12" s="48">
        <v>2.5</v>
      </c>
      <c r="AX12" s="8">
        <f>IF(AK12&gt;20000,200,IF(AK12&gt;15000,150,0))</f>
        <v>150</v>
      </c>
      <c r="AY12" s="8">
        <f>SUM(AU12:AX12)</f>
        <v>1747.5</v>
      </c>
      <c r="AZ12" s="8">
        <f>ROUND(AK12-AY12+AL12,0)</f>
        <v>13443</v>
      </c>
      <c r="BB12" s="11" t="s">
        <v>448</v>
      </c>
      <c r="BC12" s="50">
        <v>110077926480</v>
      </c>
      <c r="BD12" s="11" t="s">
        <v>444</v>
      </c>
      <c r="BE12" s="63" t="s">
        <v>420</v>
      </c>
      <c r="BF12" s="8">
        <f>AZ12</f>
        <v>13443</v>
      </c>
      <c r="BG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 t="s">
        <v>421</v>
      </c>
      <c r="BZ12" s="8" t="s">
        <v>450</v>
      </c>
      <c r="CA12" s="8"/>
    </row>
    <row r="14" spans="1:79">
      <c r="A14" t="s">
        <v>451</v>
      </c>
      <c r="B14" s="14" t="s">
        <v>452</v>
      </c>
    </row>
    <row r="15" spans="1:79" s="1" customFormat="1" ht="79.5">
      <c r="A15" s="6" t="s">
        <v>168</v>
      </c>
      <c r="B15" s="6" t="s">
        <v>169</v>
      </c>
      <c r="C15" s="6" t="s">
        <v>170</v>
      </c>
      <c r="D15" s="6" t="s">
        <v>171</v>
      </c>
      <c r="E15" s="6" t="s">
        <v>409</v>
      </c>
      <c r="F15" s="6" t="s">
        <v>109</v>
      </c>
      <c r="G15" s="6" t="s">
        <v>410</v>
      </c>
      <c r="H15" s="7" t="s">
        <v>173</v>
      </c>
      <c r="I15" s="6" t="s">
        <v>174</v>
      </c>
      <c r="J15" s="32" t="s">
        <v>175</v>
      </c>
      <c r="K15" s="6" t="s">
        <v>176</v>
      </c>
      <c r="L15" s="6" t="s">
        <v>177</v>
      </c>
      <c r="M15" s="6" t="s">
        <v>178</v>
      </c>
      <c r="N15" s="6" t="s">
        <v>179</v>
      </c>
      <c r="O15" s="6" t="s">
        <v>180</v>
      </c>
      <c r="P15" s="33" t="s">
        <v>182</v>
      </c>
      <c r="Q15" s="33" t="s">
        <v>183</v>
      </c>
      <c r="R15" s="33" t="s">
        <v>19</v>
      </c>
      <c r="S15" s="33" t="s">
        <v>20</v>
      </c>
      <c r="T15" s="7" t="s">
        <v>184</v>
      </c>
      <c r="U15" s="6" t="s">
        <v>185</v>
      </c>
      <c r="V15" s="7" t="s">
        <v>186</v>
      </c>
      <c r="W15" s="6" t="s">
        <v>23</v>
      </c>
      <c r="X15" s="6" t="s">
        <v>24</v>
      </c>
      <c r="Y15" s="6" t="s">
        <v>187</v>
      </c>
      <c r="Z15" s="6" t="s">
        <v>188</v>
      </c>
      <c r="AA15" s="6" t="s">
        <v>189</v>
      </c>
      <c r="AB15" s="7" t="s">
        <v>190</v>
      </c>
      <c r="AC15" s="6" t="s">
        <v>184</v>
      </c>
      <c r="AD15" s="6" t="s">
        <v>185</v>
      </c>
      <c r="AE15" s="6" t="s">
        <v>186</v>
      </c>
      <c r="AF15" s="6" t="s">
        <v>23</v>
      </c>
      <c r="AG15" s="6" t="s">
        <v>24</v>
      </c>
      <c r="AH15" s="6" t="s">
        <v>187</v>
      </c>
      <c r="AI15" s="6" t="s">
        <v>188</v>
      </c>
      <c r="AJ15" s="6" t="s">
        <v>411</v>
      </c>
      <c r="AK15" s="6" t="s">
        <v>189</v>
      </c>
      <c r="AL15" s="6" t="s">
        <v>190</v>
      </c>
      <c r="AM15" s="6" t="s">
        <v>412</v>
      </c>
      <c r="AN15" s="6" t="s">
        <v>192</v>
      </c>
      <c r="AO15" s="6" t="s">
        <v>193</v>
      </c>
      <c r="AP15" s="6" t="s">
        <v>194</v>
      </c>
      <c r="AQ15" s="6" t="s">
        <v>195</v>
      </c>
      <c r="AR15" s="6" t="s">
        <v>196</v>
      </c>
      <c r="AS15" s="6" t="s">
        <v>197</v>
      </c>
      <c r="AT15" s="6" t="s">
        <v>198</v>
      </c>
      <c r="AU15" s="6" t="s">
        <v>199</v>
      </c>
      <c r="AV15" s="6" t="s">
        <v>200</v>
      </c>
      <c r="AW15" s="6" t="s">
        <v>201</v>
      </c>
      <c r="AX15" s="6" t="s">
        <v>202</v>
      </c>
      <c r="AY15" s="6" t="s">
        <v>203</v>
      </c>
      <c r="AZ15" s="6" t="s">
        <v>204</v>
      </c>
      <c r="BA15" s="6" t="s">
        <v>205</v>
      </c>
      <c r="BB15" s="45"/>
      <c r="BC15" s="46" t="s">
        <v>206</v>
      </c>
      <c r="BD15" s="47" t="s">
        <v>207</v>
      </c>
      <c r="BE15" s="6" t="s">
        <v>208</v>
      </c>
      <c r="BF15" s="61" t="s">
        <v>413</v>
      </c>
      <c r="BG15" s="6" t="s">
        <v>210</v>
      </c>
      <c r="BH15" s="6" t="s">
        <v>211</v>
      </c>
      <c r="BJ15" s="62" t="s">
        <v>212</v>
      </c>
      <c r="BK15" s="62" t="s">
        <v>213</v>
      </c>
      <c r="BL15" s="62" t="s">
        <v>109</v>
      </c>
      <c r="BM15" s="62" t="s">
        <v>214</v>
      </c>
      <c r="BN15" s="62" t="s">
        <v>215</v>
      </c>
      <c r="BO15" s="62" t="s">
        <v>216</v>
      </c>
      <c r="BP15" s="62" t="s">
        <v>217</v>
      </c>
      <c r="BQ15" s="78" t="s">
        <v>218</v>
      </c>
      <c r="BR15" s="62" t="s">
        <v>219</v>
      </c>
      <c r="BS15" s="62" t="s">
        <v>220</v>
      </c>
      <c r="BT15" s="62" t="s">
        <v>221</v>
      </c>
      <c r="BU15" s="62" t="s">
        <v>220</v>
      </c>
      <c r="BV15" s="62" t="s">
        <v>218</v>
      </c>
      <c r="BW15" s="79" t="s">
        <v>222</v>
      </c>
      <c r="BX15" s="79" t="s">
        <v>223</v>
      </c>
      <c r="BY15" s="79" t="s">
        <v>224</v>
      </c>
      <c r="BZ15" s="79" t="s">
        <v>225</v>
      </c>
      <c r="CA15" s="79"/>
    </row>
    <row r="16" spans="1:79">
      <c r="A16" s="8">
        <v>5</v>
      </c>
      <c r="B16" s="9" t="s">
        <v>453</v>
      </c>
      <c r="C16" s="8" t="s">
        <v>454</v>
      </c>
      <c r="D16" s="10" t="s">
        <v>455</v>
      </c>
      <c r="E16" s="10" t="s">
        <v>455</v>
      </c>
      <c r="F16" s="11" t="s">
        <v>120</v>
      </c>
      <c r="G16" s="11" t="s">
        <v>456</v>
      </c>
      <c r="H16" s="12">
        <v>101108184040</v>
      </c>
      <c r="I16" s="8">
        <v>7011527220</v>
      </c>
      <c r="J16" s="34">
        <v>45327</v>
      </c>
      <c r="K16" s="8" t="s">
        <v>418</v>
      </c>
      <c r="L16" s="8" t="s">
        <v>230</v>
      </c>
      <c r="M16" s="8" t="s">
        <v>231</v>
      </c>
      <c r="N16" s="16" t="s">
        <v>4</v>
      </c>
      <c r="O16" s="16" t="s">
        <v>232</v>
      </c>
      <c r="P16" s="8">
        <v>31</v>
      </c>
      <c r="Q16" s="35">
        <v>31</v>
      </c>
      <c r="R16" s="35">
        <v>0</v>
      </c>
      <c r="S16" s="8">
        <v>0</v>
      </c>
      <c r="T16" s="8">
        <v>12339</v>
      </c>
      <c r="U16" s="8">
        <v>0</v>
      </c>
      <c r="V16" s="8">
        <f>T16+U16</f>
        <v>12339</v>
      </c>
      <c r="W16" s="8">
        <v>281</v>
      </c>
      <c r="X16" s="8">
        <v>0</v>
      </c>
      <c r="Y16" s="8">
        <v>0</v>
      </c>
      <c r="Z16" s="8">
        <v>1542</v>
      </c>
      <c r="AA16" s="8">
        <v>1028</v>
      </c>
      <c r="AB16" s="8">
        <f>SUM(V16:AA16)</f>
        <v>15190</v>
      </c>
      <c r="AC16" s="8">
        <f>ROUND(T16/P16*Q16,0)</f>
        <v>12339</v>
      </c>
      <c r="AD16" s="8">
        <f>ROUND(U16/P16*Q16,0)</f>
        <v>0</v>
      </c>
      <c r="AE16" s="8">
        <f>AC16+AD16</f>
        <v>12339</v>
      </c>
      <c r="AF16" s="8">
        <f>ROUND(W16/P16*Q16,0)</f>
        <v>281</v>
      </c>
      <c r="AG16" s="8">
        <f>ROUND(X16/P16*Q16,0)</f>
        <v>0</v>
      </c>
      <c r="AH16" s="8">
        <f>ROUND(Y16/P16*Q16,0)</f>
        <v>0</v>
      </c>
      <c r="AI16" s="8">
        <f>ROUND(Z16/P16*Q16,0)</f>
        <v>1542</v>
      </c>
      <c r="AJ16" s="8">
        <f>ROUND((T16/26)/4*S16,0)</f>
        <v>0</v>
      </c>
      <c r="AK16" s="8">
        <f>ROUND(AA16/P16*Q16,0)</f>
        <v>1028</v>
      </c>
      <c r="AL16" s="8">
        <f>ROUND(SUM(AE16:AK16),0)</f>
        <v>15190</v>
      </c>
      <c r="AM16" s="8">
        <f>ROUND(AB16/P16*R16,0)</f>
        <v>0</v>
      </c>
      <c r="AN16" s="8">
        <f>ROUND(IF(V16&gt;15000,IF(Q16&lt;P16,ROUND(15000/P16*Q16,0),15000),IF(AE16&gt;V16,V16,AE16)),0)</f>
        <v>12339</v>
      </c>
      <c r="AO16" s="8">
        <f>ROUND(AN16*13%,0)</f>
        <v>1604</v>
      </c>
      <c r="AP16" s="43">
        <f>IF(AB16&gt;=21000,0,AL16*3.25%)</f>
        <v>493.67500000000001</v>
      </c>
      <c r="AQ16" s="8">
        <v>5.83</v>
      </c>
      <c r="AR16" s="40">
        <f>SUM(AO16:AQ16)</f>
        <v>2103.5050000000001</v>
      </c>
      <c r="AS16" s="43">
        <f>AL16+AR16</f>
        <v>17293.505000000001</v>
      </c>
      <c r="AT16" s="8"/>
      <c r="AU16" s="8">
        <f>ROUND(AS16+AT16,0)</f>
        <v>17294</v>
      </c>
      <c r="AV16" s="8">
        <f>ROUND(AN16*12%,0)</f>
        <v>1481</v>
      </c>
      <c r="AW16" s="8">
        <f>IF(AB16&gt;21000,0,CEILING(AL16*0.75%,1))</f>
        <v>114</v>
      </c>
      <c r="AX16" s="48">
        <v>2.5</v>
      </c>
      <c r="AY16" s="8">
        <f>IF(AL16&gt;20000,200,IF(AL16&gt;15000,150,0))</f>
        <v>150</v>
      </c>
      <c r="AZ16" s="8">
        <f>SUM(AV16:AY16)</f>
        <v>1747.5</v>
      </c>
      <c r="BA16" s="8">
        <f>ROUND(AL16-AZ16+AM16,0)</f>
        <v>13443</v>
      </c>
      <c r="BC16" s="51" t="s">
        <v>455</v>
      </c>
      <c r="BD16" s="270" t="s">
        <v>457</v>
      </c>
      <c r="BE16" s="65" t="s">
        <v>458</v>
      </c>
      <c r="BF16" s="66" t="s">
        <v>459</v>
      </c>
      <c r="BG16" s="8">
        <f>BA16</f>
        <v>13443</v>
      </c>
      <c r="BH16" s="64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 t="s">
        <v>421</v>
      </c>
      <c r="BZ16" s="8" t="s">
        <v>460</v>
      </c>
      <c r="CA16" s="8"/>
    </row>
    <row r="17" spans="1:82">
      <c r="A17" s="8">
        <v>7</v>
      </c>
      <c r="B17" s="9" t="s">
        <v>461</v>
      </c>
      <c r="C17" s="8" t="s">
        <v>462</v>
      </c>
      <c r="D17" s="11" t="s">
        <v>463</v>
      </c>
      <c r="E17" s="11" t="s">
        <v>463</v>
      </c>
      <c r="F17" s="11" t="s">
        <v>130</v>
      </c>
      <c r="G17" s="11" t="s">
        <v>464</v>
      </c>
      <c r="H17" s="12">
        <v>102083778792</v>
      </c>
      <c r="I17" s="8">
        <v>7011588496</v>
      </c>
      <c r="J17" s="34">
        <v>45449</v>
      </c>
      <c r="K17" s="8" t="s">
        <v>418</v>
      </c>
      <c r="L17" s="8" t="s">
        <v>230</v>
      </c>
      <c r="M17" s="8" t="s">
        <v>231</v>
      </c>
      <c r="N17" s="16" t="s">
        <v>4</v>
      </c>
      <c r="O17" s="16" t="s">
        <v>232</v>
      </c>
      <c r="P17" s="8">
        <v>31</v>
      </c>
      <c r="Q17" s="35">
        <v>31</v>
      </c>
      <c r="R17" s="35">
        <v>0</v>
      </c>
      <c r="S17" s="8">
        <v>0</v>
      </c>
      <c r="T17" s="8">
        <v>12339</v>
      </c>
      <c r="U17" s="8">
        <v>0</v>
      </c>
      <c r="V17" s="8">
        <f>T17+U17</f>
        <v>12339</v>
      </c>
      <c r="W17" s="8">
        <v>281</v>
      </c>
      <c r="X17" s="8">
        <v>0</v>
      </c>
      <c r="Y17" s="8">
        <v>0</v>
      </c>
      <c r="Z17" s="8">
        <v>1542</v>
      </c>
      <c r="AA17" s="8">
        <v>1028</v>
      </c>
      <c r="AB17" s="8">
        <f>SUM(V17:AA17)</f>
        <v>15190</v>
      </c>
      <c r="AC17" s="8">
        <f>ROUND(T17/P17*Q17,0)</f>
        <v>12339</v>
      </c>
      <c r="AD17" s="8">
        <f>ROUND(U17/P17*Q17,0)</f>
        <v>0</v>
      </c>
      <c r="AE17" s="8">
        <f>AC17+AD17</f>
        <v>12339</v>
      </c>
      <c r="AF17" s="8">
        <f>ROUND(W17/P17*Q17,0)</f>
        <v>281</v>
      </c>
      <c r="AG17" s="8">
        <f>ROUND(X17/P17*Q17,0)</f>
        <v>0</v>
      </c>
      <c r="AH17" s="8">
        <f>ROUND(Y17/P17*Q17,0)</f>
        <v>0</v>
      </c>
      <c r="AI17" s="8">
        <f>ROUND(Z17/P17*Q17,0)</f>
        <v>1542</v>
      </c>
      <c r="AJ17" s="8">
        <f>ROUND((T17/26)/4*S17,0)</f>
        <v>0</v>
      </c>
      <c r="AK17" s="8">
        <f>ROUND(AA17/P17*Q17,0)</f>
        <v>1028</v>
      </c>
      <c r="AL17" s="8">
        <f>ROUND(SUM(AE17:AK17),0)</f>
        <v>15190</v>
      </c>
      <c r="AM17" s="8">
        <f>ROUND(AB17/P17*R17,0)</f>
        <v>0</v>
      </c>
      <c r="AN17" s="8">
        <f>ROUND(IF(V17&gt;15000,IF(Q17&lt;P17,ROUND(15000/P17*Q17,0),15000),IF(AE17&gt;V17,V17,AE17)),0)</f>
        <v>12339</v>
      </c>
      <c r="AO17" s="8">
        <f>ROUND(AN17*13%,0)</f>
        <v>1604</v>
      </c>
      <c r="AP17" s="43">
        <f>IF(AB17&gt;=21000,0,AL17*3.25%)</f>
        <v>493.67500000000001</v>
      </c>
      <c r="AQ17" s="8">
        <v>5.83</v>
      </c>
      <c r="AR17" s="40">
        <f>SUM(AO17:AQ17)</f>
        <v>2103.5050000000001</v>
      </c>
      <c r="AS17" s="43">
        <f>AL17+AR17</f>
        <v>17293.505000000001</v>
      </c>
      <c r="AT17" s="8"/>
      <c r="AU17" s="8">
        <f>ROUND(AS17+AT17,0)</f>
        <v>17294</v>
      </c>
      <c r="AV17" s="8">
        <f>ROUND(AN17*12%,0)</f>
        <v>1481</v>
      </c>
      <c r="AW17" s="8">
        <f>IF(AB17&gt;21000,0,CEILING(AL17*0.75%,1))</f>
        <v>114</v>
      </c>
      <c r="AX17" s="48">
        <v>2.5</v>
      </c>
      <c r="AY17" s="8">
        <f>IF(AL17&gt;20000,200,IF(AL17&gt;15000,150,0))</f>
        <v>150</v>
      </c>
      <c r="AZ17" s="8">
        <f>SUM(AV17:AY17)</f>
        <v>1747.5</v>
      </c>
      <c r="BA17" s="8">
        <f>ROUND(AL17-AZ17+AM17,0)</f>
        <v>13443</v>
      </c>
      <c r="BC17" s="22" t="s">
        <v>463</v>
      </c>
      <c r="BD17" s="271" t="s">
        <v>465</v>
      </c>
      <c r="BE17" s="272" t="s">
        <v>466</v>
      </c>
      <c r="BF17" s="67" t="s">
        <v>467</v>
      </c>
      <c r="BG17" s="8">
        <f>BA17</f>
        <v>13443</v>
      </c>
      <c r="BH17" s="64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</row>
    <row r="19" spans="1:82">
      <c r="A19" t="s">
        <v>468</v>
      </c>
      <c r="B19" s="14" t="s">
        <v>452</v>
      </c>
    </row>
    <row r="20" spans="1:82" s="1" customFormat="1" ht="79.5">
      <c r="A20" s="6" t="s">
        <v>168</v>
      </c>
      <c r="B20" s="6" t="s">
        <v>169</v>
      </c>
      <c r="C20" s="6" t="s">
        <v>170</v>
      </c>
      <c r="D20" s="6" t="s">
        <v>171</v>
      </c>
      <c r="E20" s="6" t="s">
        <v>409</v>
      </c>
      <c r="F20" s="6" t="s">
        <v>109</v>
      </c>
      <c r="G20" s="6" t="s">
        <v>410</v>
      </c>
      <c r="H20" s="7" t="s">
        <v>173</v>
      </c>
      <c r="I20" s="6" t="s">
        <v>174</v>
      </c>
      <c r="J20" s="32" t="s">
        <v>175</v>
      </c>
      <c r="K20" s="6" t="s">
        <v>176</v>
      </c>
      <c r="L20" s="6" t="s">
        <v>177</v>
      </c>
      <c r="M20" s="6" t="s">
        <v>178</v>
      </c>
      <c r="N20" s="6" t="s">
        <v>179</v>
      </c>
      <c r="O20" s="6" t="s">
        <v>180</v>
      </c>
      <c r="P20" s="33" t="s">
        <v>182</v>
      </c>
      <c r="Q20" s="33" t="s">
        <v>183</v>
      </c>
      <c r="R20" s="33" t="s">
        <v>469</v>
      </c>
      <c r="S20" s="33" t="s">
        <v>20</v>
      </c>
      <c r="T20" s="7" t="s">
        <v>184</v>
      </c>
      <c r="U20" s="6" t="s">
        <v>185</v>
      </c>
      <c r="V20" s="7" t="s">
        <v>186</v>
      </c>
      <c r="W20" s="6" t="s">
        <v>23</v>
      </c>
      <c r="X20" s="6" t="s">
        <v>24</v>
      </c>
      <c r="Y20" s="6" t="s">
        <v>187</v>
      </c>
      <c r="Z20" s="6" t="s">
        <v>188</v>
      </c>
      <c r="AA20" s="6" t="s">
        <v>189</v>
      </c>
      <c r="AB20" s="7" t="s">
        <v>190</v>
      </c>
      <c r="AC20" s="6" t="s">
        <v>184</v>
      </c>
      <c r="AD20" s="6" t="s">
        <v>185</v>
      </c>
      <c r="AE20" s="6" t="s">
        <v>186</v>
      </c>
      <c r="AF20" s="6" t="s">
        <v>23</v>
      </c>
      <c r="AG20" s="6" t="s">
        <v>24</v>
      </c>
      <c r="AH20" s="6" t="s">
        <v>187</v>
      </c>
      <c r="AI20" s="6" t="s">
        <v>188</v>
      </c>
      <c r="AJ20" s="6" t="s">
        <v>411</v>
      </c>
      <c r="AK20" s="6" t="s">
        <v>189</v>
      </c>
      <c r="AL20" s="6" t="s">
        <v>190</v>
      </c>
      <c r="AM20" s="6" t="s">
        <v>412</v>
      </c>
      <c r="AN20" s="6" t="s">
        <v>192</v>
      </c>
      <c r="AO20" s="6" t="s">
        <v>193</v>
      </c>
      <c r="AP20" s="6" t="s">
        <v>194</v>
      </c>
      <c r="AQ20" s="6" t="s">
        <v>195</v>
      </c>
      <c r="AR20" s="6" t="s">
        <v>196</v>
      </c>
      <c r="AS20" s="6" t="s">
        <v>197</v>
      </c>
      <c r="AT20" s="6" t="s">
        <v>198</v>
      </c>
      <c r="AU20" s="6" t="s">
        <v>199</v>
      </c>
      <c r="AV20" s="6" t="s">
        <v>200</v>
      </c>
      <c r="AW20" s="6" t="s">
        <v>201</v>
      </c>
      <c r="AX20" s="6" t="s">
        <v>202</v>
      </c>
      <c r="AY20" s="6" t="s">
        <v>203</v>
      </c>
      <c r="AZ20" s="6" t="s">
        <v>204</v>
      </c>
      <c r="BA20" s="6" t="s">
        <v>205</v>
      </c>
      <c r="BB20" s="45"/>
      <c r="BC20" s="46" t="s">
        <v>206</v>
      </c>
      <c r="BD20" s="47" t="s">
        <v>207</v>
      </c>
      <c r="BE20" s="6" t="s">
        <v>208</v>
      </c>
      <c r="BF20" s="61" t="s">
        <v>413</v>
      </c>
      <c r="BG20" s="6" t="s">
        <v>205</v>
      </c>
      <c r="BH20" s="6" t="s">
        <v>209</v>
      </c>
      <c r="BI20" s="6" t="s">
        <v>210</v>
      </c>
      <c r="BJ20" s="6" t="s">
        <v>211</v>
      </c>
      <c r="BL20" s="62" t="s">
        <v>212</v>
      </c>
      <c r="BM20" s="62" t="s">
        <v>213</v>
      </c>
      <c r="BN20" s="62" t="s">
        <v>109</v>
      </c>
      <c r="BO20" s="62" t="s">
        <v>214</v>
      </c>
      <c r="BP20" s="62" t="s">
        <v>215</v>
      </c>
      <c r="BQ20" s="62" t="s">
        <v>216</v>
      </c>
      <c r="BR20" s="62" t="s">
        <v>217</v>
      </c>
      <c r="BS20" s="78" t="s">
        <v>218</v>
      </c>
      <c r="BT20" s="62" t="s">
        <v>219</v>
      </c>
      <c r="BU20" s="62" t="s">
        <v>220</v>
      </c>
      <c r="BV20" s="62" t="s">
        <v>221</v>
      </c>
      <c r="BW20" s="62" t="s">
        <v>220</v>
      </c>
      <c r="BX20" s="62" t="s">
        <v>218</v>
      </c>
      <c r="BY20" s="79" t="s">
        <v>222</v>
      </c>
      <c r="BZ20" s="79" t="s">
        <v>223</v>
      </c>
      <c r="CA20" s="79" t="s">
        <v>224</v>
      </c>
      <c r="CB20" s="79" t="s">
        <v>225</v>
      </c>
      <c r="CC20" s="79"/>
    </row>
    <row r="21" spans="1:82">
      <c r="A21" s="8">
        <v>7</v>
      </c>
      <c r="B21" s="9" t="s">
        <v>470</v>
      </c>
      <c r="C21" s="8" t="s">
        <v>471</v>
      </c>
      <c r="D21" s="11" t="s">
        <v>472</v>
      </c>
      <c r="E21" s="11" t="s">
        <v>473</v>
      </c>
      <c r="F21" s="11" t="s">
        <v>120</v>
      </c>
      <c r="G21" s="11" t="s">
        <v>474</v>
      </c>
      <c r="H21" s="12">
        <v>102083778802</v>
      </c>
      <c r="I21" s="8">
        <v>7011588511</v>
      </c>
      <c r="J21" s="34">
        <v>45454</v>
      </c>
      <c r="K21" s="8" t="s">
        <v>418</v>
      </c>
      <c r="L21" s="8" t="s">
        <v>230</v>
      </c>
      <c r="M21" s="8" t="s">
        <v>231</v>
      </c>
      <c r="N21" s="16" t="s">
        <v>4</v>
      </c>
      <c r="O21" s="16" t="s">
        <v>232</v>
      </c>
      <c r="P21" s="8">
        <v>31</v>
      </c>
      <c r="Q21" s="35">
        <v>7</v>
      </c>
      <c r="R21" s="35">
        <v>0</v>
      </c>
      <c r="S21" s="8">
        <v>0</v>
      </c>
      <c r="T21" s="8">
        <v>12339</v>
      </c>
      <c r="U21" s="8">
        <v>0</v>
      </c>
      <c r="V21" s="8">
        <f>T21+U21</f>
        <v>12339</v>
      </c>
      <c r="W21" s="8">
        <v>281</v>
      </c>
      <c r="X21" s="8">
        <v>0</v>
      </c>
      <c r="Y21" s="8">
        <v>0</v>
      </c>
      <c r="Z21" s="8">
        <v>1542</v>
      </c>
      <c r="AA21" s="8">
        <v>1028</v>
      </c>
      <c r="AB21" s="8">
        <f>SUM(V21:AA21)</f>
        <v>15190</v>
      </c>
      <c r="AC21" s="8">
        <f>ROUND(T21/P21*Q21,0)</f>
        <v>2786</v>
      </c>
      <c r="AD21" s="8">
        <f>ROUND(U21/P21*Q21,0)</f>
        <v>0</v>
      </c>
      <c r="AE21" s="8">
        <f>AC21+AD21</f>
        <v>2786</v>
      </c>
      <c r="AF21" s="8">
        <f>ROUND(W21/P21*Q21,0)</f>
        <v>63</v>
      </c>
      <c r="AG21" s="8">
        <f>ROUND(X21/P21*Q21,0)</f>
        <v>0</v>
      </c>
      <c r="AH21" s="8">
        <f>ROUND(Y21/P21*Q21,0)</f>
        <v>0</v>
      </c>
      <c r="AI21" s="8">
        <f>ROUND(Z21/P21*Q21,0)</f>
        <v>348</v>
      </c>
      <c r="AJ21" s="8">
        <f>ROUND((T21/26)/4*S21,0)</f>
        <v>0</v>
      </c>
      <c r="AK21" s="8">
        <f>ROUND(AA21/P21*Q21,0)</f>
        <v>232</v>
      </c>
      <c r="AL21" s="8">
        <f>ROUND(SUM(AE21:AK21),0)</f>
        <v>3429</v>
      </c>
      <c r="AM21" s="8">
        <f>ROUND(AB21/P21*R21,0)</f>
        <v>0</v>
      </c>
      <c r="AN21" s="8">
        <f>ROUND(IF(V21&gt;15000,IF(Q21&lt;P21,ROUND(15000/P21*Q21,0),15000),IF(AE21&gt;V21,V21,AE21)),0)</f>
        <v>2786</v>
      </c>
      <c r="AO21" s="8">
        <f>ROUND(AN21*13%,0)</f>
        <v>362</v>
      </c>
      <c r="AP21" s="43">
        <f>IF(AB21&gt;=21000,0,AL21*3.25%)</f>
        <v>111.4425</v>
      </c>
      <c r="AQ21" s="8">
        <v>5.83</v>
      </c>
      <c r="AR21" s="40">
        <f>SUM(AO21:AQ21)</f>
        <v>479.27249999999998</v>
      </c>
      <c r="AS21" s="43">
        <f>AL21+AR21</f>
        <v>3908.2725</v>
      </c>
      <c r="AT21" s="8"/>
      <c r="AU21" s="8">
        <f>ROUND(AS21+AT21,0)</f>
        <v>3908</v>
      </c>
      <c r="AV21" s="8">
        <f>ROUND(AN21*12%,0)</f>
        <v>334</v>
      </c>
      <c r="AW21" s="8">
        <f>IF(AB21&gt;21000,0,CEILING(AL21*0.75%,1))</f>
        <v>26</v>
      </c>
      <c r="AX21" s="48">
        <v>2.5</v>
      </c>
      <c r="AY21" s="8">
        <f>IF(AL21&gt;20000,200,IF(AL21&gt;15000,150,0))</f>
        <v>0</v>
      </c>
      <c r="AZ21" s="8">
        <f>SUM(AV21:AY21)</f>
        <v>362.5</v>
      </c>
      <c r="BA21" s="8">
        <f>ROUND(AL21-AZ21+AM21,0)</f>
        <v>3067</v>
      </c>
      <c r="BC21" s="11" t="s">
        <v>473</v>
      </c>
      <c r="BD21" s="273" t="s">
        <v>475</v>
      </c>
      <c r="BE21" s="68" t="s">
        <v>476</v>
      </c>
      <c r="BF21" s="68" t="s">
        <v>477</v>
      </c>
      <c r="BG21" s="8">
        <f>BA21</f>
        <v>3067</v>
      </c>
      <c r="BH21" s="69">
        <v>167</v>
      </c>
      <c r="BI21" s="43">
        <f>ROUND(BG21-BH21,0)</f>
        <v>2900</v>
      </c>
      <c r="BJ21" s="64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</row>
    <row r="22" spans="1:82">
      <c r="A22" s="8">
        <v>10</v>
      </c>
      <c r="B22" s="9" t="s">
        <v>478</v>
      </c>
      <c r="C22" s="8" t="s">
        <v>479</v>
      </c>
      <c r="D22" s="15" t="s">
        <v>480</v>
      </c>
      <c r="E22" s="11" t="s">
        <v>480</v>
      </c>
      <c r="F22" s="11" t="s">
        <v>130</v>
      </c>
      <c r="G22" s="11" t="s">
        <v>481</v>
      </c>
      <c r="H22" s="12">
        <v>102100945887</v>
      </c>
      <c r="I22" s="8">
        <v>7011608097</v>
      </c>
      <c r="J22" s="34">
        <v>45474</v>
      </c>
      <c r="K22" s="8" t="s">
        <v>418</v>
      </c>
      <c r="L22" s="8" t="s">
        <v>230</v>
      </c>
      <c r="M22" s="8" t="s">
        <v>231</v>
      </c>
      <c r="N22" s="16" t="s">
        <v>4</v>
      </c>
      <c r="O22" s="16" t="s">
        <v>232</v>
      </c>
      <c r="P22" s="8">
        <v>31</v>
      </c>
      <c r="Q22" s="35">
        <v>24</v>
      </c>
      <c r="R22" s="35">
        <v>1</v>
      </c>
      <c r="S22" s="8">
        <v>0</v>
      </c>
      <c r="T22" s="8">
        <v>12339</v>
      </c>
      <c r="U22" s="8">
        <v>0</v>
      </c>
      <c r="V22" s="8">
        <f>T22+U22</f>
        <v>12339</v>
      </c>
      <c r="W22" s="8">
        <v>281</v>
      </c>
      <c r="X22" s="8">
        <v>0</v>
      </c>
      <c r="Y22" s="8">
        <v>0</v>
      </c>
      <c r="Z22" s="8">
        <v>1542</v>
      </c>
      <c r="AA22" s="8">
        <v>1028</v>
      </c>
      <c r="AB22" s="8">
        <f>SUM(V22:AA22)</f>
        <v>15190</v>
      </c>
      <c r="AC22" s="8">
        <f>ROUND(T22/P22*Q22,0)</f>
        <v>9553</v>
      </c>
      <c r="AD22" s="8">
        <f>ROUND(U22/P22*Q22,0)</f>
        <v>0</v>
      </c>
      <c r="AE22" s="8">
        <f>AC22+AD22</f>
        <v>9553</v>
      </c>
      <c r="AF22" s="8">
        <f>ROUND(W22/P22*Q22,0)</f>
        <v>218</v>
      </c>
      <c r="AG22" s="8">
        <f>ROUND(X22/P22*Q22,0)</f>
        <v>0</v>
      </c>
      <c r="AH22" s="8">
        <f>ROUND(Y22/P22*Q22,0)</f>
        <v>0</v>
      </c>
      <c r="AI22" s="8">
        <f>ROUND(Z22/P22*Q22,0)</f>
        <v>1194</v>
      </c>
      <c r="AJ22" s="8">
        <f>ROUND((T22/26)/4*S22,0)</f>
        <v>0</v>
      </c>
      <c r="AK22" s="8">
        <f>ROUND(AA22/P22*Q22,0)</f>
        <v>796</v>
      </c>
      <c r="AL22" s="8">
        <f>ROUND(SUM(AE22:AK22),0)</f>
        <v>11761</v>
      </c>
      <c r="AM22" s="8">
        <f>ROUND(AB22/P22*R22,0)</f>
        <v>490</v>
      </c>
      <c r="AN22" s="8">
        <f>ROUND(IF(V22&gt;15000,IF(Q22&lt;P22,ROUND(15000/P22*Q22,0),15000),IF(AE22&gt;V22,V22,AE22)),0)</f>
        <v>9553</v>
      </c>
      <c r="AO22" s="8">
        <f>ROUND(AN22*13%,0)</f>
        <v>1242</v>
      </c>
      <c r="AP22" s="43">
        <f>IF(AB22&gt;=21000,0,AL22*3.25%)</f>
        <v>382.23250000000002</v>
      </c>
      <c r="AQ22" s="8">
        <v>5.83</v>
      </c>
      <c r="AR22" s="40">
        <f>SUM(AO22:AQ22)</f>
        <v>1630.0625</v>
      </c>
      <c r="AS22" s="43">
        <f>AL22+AR22</f>
        <v>13391.0625</v>
      </c>
      <c r="AT22" s="8"/>
      <c r="AU22" s="8">
        <f>ROUND(AS22+AT22,0)</f>
        <v>13391</v>
      </c>
      <c r="AV22" s="8">
        <f>ROUND(AN22*12%,0)</f>
        <v>1146</v>
      </c>
      <c r="AW22" s="8">
        <f>IF(AB22&gt;21000,0,CEILING(AL22*0.75%,1))</f>
        <v>89</v>
      </c>
      <c r="AX22" s="48">
        <v>2.5</v>
      </c>
      <c r="AY22" s="8">
        <f>IF(AL22&gt;20000,200,IF(AL22&gt;15000,150,0))</f>
        <v>0</v>
      </c>
      <c r="AZ22" s="8">
        <f>SUM(AV22:AY22)</f>
        <v>1237.5</v>
      </c>
      <c r="BA22" s="8">
        <f>ROUND(AL22-AZ22+AM22,0)</f>
        <v>11014</v>
      </c>
      <c r="BC22" s="11" t="s">
        <v>480</v>
      </c>
      <c r="BD22" s="274" t="s">
        <v>482</v>
      </c>
      <c r="BE22" s="52" t="s">
        <v>483</v>
      </c>
      <c r="BF22" s="52" t="s">
        <v>484</v>
      </c>
      <c r="BG22" s="8">
        <f>BA22</f>
        <v>11014</v>
      </c>
      <c r="BH22" s="69">
        <v>220.28</v>
      </c>
      <c r="BI22" s="43">
        <f>ROUND(BG22-BH22,0)</f>
        <v>10794</v>
      </c>
      <c r="BJ22" s="64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</row>
    <row r="24" spans="1:82">
      <c r="A24" t="s">
        <v>485</v>
      </c>
      <c r="B24" s="14" t="s">
        <v>486</v>
      </c>
    </row>
    <row r="25" spans="1:82" s="1" customFormat="1" ht="79.5">
      <c r="A25" s="6" t="s">
        <v>168</v>
      </c>
      <c r="B25" s="6" t="s">
        <v>169</v>
      </c>
      <c r="C25" s="6" t="s">
        <v>170</v>
      </c>
      <c r="D25" s="6" t="s">
        <v>171</v>
      </c>
      <c r="E25" s="6" t="s">
        <v>409</v>
      </c>
      <c r="F25" s="6" t="s">
        <v>109</v>
      </c>
      <c r="G25" s="6" t="s">
        <v>410</v>
      </c>
      <c r="H25" s="7" t="s">
        <v>173</v>
      </c>
      <c r="I25" s="6" t="s">
        <v>174</v>
      </c>
      <c r="J25" s="32" t="s">
        <v>175</v>
      </c>
      <c r="K25" s="6" t="s">
        <v>176</v>
      </c>
      <c r="L25" s="6" t="s">
        <v>177</v>
      </c>
      <c r="M25" s="6" t="s">
        <v>178</v>
      </c>
      <c r="N25" s="6" t="s">
        <v>179</v>
      </c>
      <c r="O25" s="6" t="s">
        <v>180</v>
      </c>
      <c r="P25" s="33" t="s">
        <v>182</v>
      </c>
      <c r="Q25" s="33" t="s">
        <v>183</v>
      </c>
      <c r="R25" s="33" t="s">
        <v>469</v>
      </c>
      <c r="S25" s="33" t="s">
        <v>20</v>
      </c>
      <c r="T25" s="7" t="s">
        <v>184</v>
      </c>
      <c r="U25" s="6" t="s">
        <v>185</v>
      </c>
      <c r="V25" s="7" t="s">
        <v>186</v>
      </c>
      <c r="W25" s="6" t="s">
        <v>23</v>
      </c>
      <c r="X25" s="6" t="s">
        <v>24</v>
      </c>
      <c r="Y25" s="6" t="s">
        <v>187</v>
      </c>
      <c r="Z25" s="6" t="s">
        <v>188</v>
      </c>
      <c r="AA25" s="6" t="s">
        <v>189</v>
      </c>
      <c r="AB25" s="7" t="s">
        <v>190</v>
      </c>
      <c r="AC25" s="6" t="s">
        <v>184</v>
      </c>
      <c r="AD25" s="6" t="s">
        <v>185</v>
      </c>
      <c r="AE25" s="6" t="s">
        <v>186</v>
      </c>
      <c r="AF25" s="6" t="s">
        <v>23</v>
      </c>
      <c r="AG25" s="6" t="s">
        <v>24</v>
      </c>
      <c r="AH25" s="6" t="s">
        <v>187</v>
      </c>
      <c r="AI25" s="6" t="s">
        <v>188</v>
      </c>
      <c r="AJ25" s="6" t="s">
        <v>411</v>
      </c>
      <c r="AK25" s="6" t="s">
        <v>189</v>
      </c>
      <c r="AL25" s="6" t="s">
        <v>190</v>
      </c>
      <c r="AM25" s="6" t="s">
        <v>412</v>
      </c>
      <c r="AN25" s="6" t="s">
        <v>192</v>
      </c>
      <c r="AO25" s="6" t="s">
        <v>193</v>
      </c>
      <c r="AP25" s="6" t="s">
        <v>194</v>
      </c>
      <c r="AQ25" s="6" t="s">
        <v>195</v>
      </c>
      <c r="AR25" s="6" t="s">
        <v>196</v>
      </c>
      <c r="AS25" s="6" t="s">
        <v>197</v>
      </c>
      <c r="AT25" s="6" t="s">
        <v>198</v>
      </c>
      <c r="AU25" s="6" t="s">
        <v>199</v>
      </c>
      <c r="AV25" s="6" t="s">
        <v>200</v>
      </c>
      <c r="AW25" s="6" t="s">
        <v>201</v>
      </c>
      <c r="AX25" s="6" t="s">
        <v>202</v>
      </c>
      <c r="AY25" s="6" t="s">
        <v>203</v>
      </c>
      <c r="AZ25" s="6" t="s">
        <v>204</v>
      </c>
      <c r="BA25" s="6" t="s">
        <v>205</v>
      </c>
      <c r="BB25" s="45"/>
      <c r="BC25" s="46" t="s">
        <v>206</v>
      </c>
      <c r="BD25" s="47" t="s">
        <v>207</v>
      </c>
      <c r="BE25" s="6" t="s">
        <v>208</v>
      </c>
      <c r="BF25" s="61" t="s">
        <v>413</v>
      </c>
      <c r="BG25" s="6" t="s">
        <v>205</v>
      </c>
      <c r="BH25" s="6" t="s">
        <v>487</v>
      </c>
      <c r="BI25" s="6" t="s">
        <v>209</v>
      </c>
      <c r="BJ25" s="6" t="s">
        <v>210</v>
      </c>
      <c r="BK25" s="6" t="s">
        <v>211</v>
      </c>
      <c r="BM25" s="62" t="s">
        <v>212</v>
      </c>
      <c r="BN25" s="62" t="s">
        <v>213</v>
      </c>
      <c r="BO25" s="62" t="s">
        <v>109</v>
      </c>
      <c r="BP25" s="62" t="s">
        <v>214</v>
      </c>
      <c r="BQ25" s="62" t="s">
        <v>215</v>
      </c>
      <c r="BR25" s="62" t="s">
        <v>216</v>
      </c>
      <c r="BS25" s="62" t="s">
        <v>217</v>
      </c>
      <c r="BT25" s="78" t="s">
        <v>218</v>
      </c>
      <c r="BU25" s="62" t="s">
        <v>219</v>
      </c>
      <c r="BV25" s="62" t="s">
        <v>220</v>
      </c>
      <c r="BW25" s="62" t="s">
        <v>221</v>
      </c>
      <c r="BX25" s="62" t="s">
        <v>220</v>
      </c>
      <c r="BY25" s="62" t="s">
        <v>218</v>
      </c>
      <c r="BZ25" s="79" t="s">
        <v>222</v>
      </c>
      <c r="CA25" s="79" t="s">
        <v>223</v>
      </c>
      <c r="CB25" s="79" t="s">
        <v>224</v>
      </c>
      <c r="CC25" s="79" t="s">
        <v>225</v>
      </c>
      <c r="CD25" s="79"/>
    </row>
    <row r="26" spans="1:82" s="2" customFormat="1">
      <c r="A26" s="16">
        <v>10</v>
      </c>
      <c r="B26" s="9" t="s">
        <v>447</v>
      </c>
      <c r="C26" s="16" t="s">
        <v>488</v>
      </c>
      <c r="D26" s="15" t="s">
        <v>448</v>
      </c>
      <c r="E26" s="11" t="s">
        <v>448</v>
      </c>
      <c r="F26" s="11" t="s">
        <v>130</v>
      </c>
      <c r="G26" s="11" t="s">
        <v>449</v>
      </c>
      <c r="H26" s="12">
        <v>101880328641</v>
      </c>
      <c r="I26" s="16">
        <v>3314487374</v>
      </c>
      <c r="J26" s="34">
        <v>45327</v>
      </c>
      <c r="K26" s="16" t="s">
        <v>418</v>
      </c>
      <c r="L26" s="16" t="s">
        <v>230</v>
      </c>
      <c r="M26" s="16" t="s">
        <v>231</v>
      </c>
      <c r="N26" s="16" t="s">
        <v>4</v>
      </c>
      <c r="O26" s="16" t="s">
        <v>232</v>
      </c>
      <c r="P26" s="16">
        <v>31</v>
      </c>
      <c r="Q26" s="9">
        <v>28</v>
      </c>
      <c r="R26" s="9">
        <v>0</v>
      </c>
      <c r="S26" s="16">
        <v>0</v>
      </c>
      <c r="T26" s="16">
        <v>12339</v>
      </c>
      <c r="U26" s="16">
        <v>0</v>
      </c>
      <c r="V26" s="16">
        <f>T26+U26</f>
        <v>12339</v>
      </c>
      <c r="W26" s="16">
        <v>281</v>
      </c>
      <c r="X26" s="16">
        <v>0</v>
      </c>
      <c r="Y26" s="16">
        <v>0</v>
      </c>
      <c r="Z26" s="16">
        <v>1542</v>
      </c>
      <c r="AA26" s="16">
        <v>1028</v>
      </c>
      <c r="AB26" s="16">
        <f>SUM(V26:AA26)</f>
        <v>15190</v>
      </c>
      <c r="AC26" s="16">
        <f>ROUND(T26/P26*Q26,0)</f>
        <v>11145</v>
      </c>
      <c r="AD26" s="16">
        <f>ROUND(U26/P26*Q26,0)</f>
        <v>0</v>
      </c>
      <c r="AE26" s="16">
        <f>AC26+AD26</f>
        <v>11145</v>
      </c>
      <c r="AF26" s="16">
        <f>ROUND(W26/P26*Q26,0)</f>
        <v>254</v>
      </c>
      <c r="AG26" s="16">
        <f>ROUND(X26/P26*Q26,0)</f>
        <v>0</v>
      </c>
      <c r="AH26" s="16">
        <f>ROUND(Y26/P26*Q26,0)</f>
        <v>0</v>
      </c>
      <c r="AI26" s="16">
        <f>ROUND(Z26/P26*Q26,0)</f>
        <v>1393</v>
      </c>
      <c r="AJ26" s="16">
        <f>ROUND((T26/26)/4*S26,0)</f>
        <v>0</v>
      </c>
      <c r="AK26" s="16">
        <f>ROUND(AA26/P26*Q26,0)</f>
        <v>929</v>
      </c>
      <c r="AL26" s="16">
        <f>ROUND(SUM(AE26:AK26),0)</f>
        <v>13721</v>
      </c>
      <c r="AM26" s="16">
        <f>ROUND(AB26/P26*R26,0)</f>
        <v>0</v>
      </c>
      <c r="AN26" s="16">
        <f>ROUND(IF(V26&gt;15000,IF(Q26&lt;P26,ROUND(15000/P26*Q26,0),15000),IF(AE26&gt;V26,V26,AE26)),0)</f>
        <v>11145</v>
      </c>
      <c r="AO26" s="16">
        <f>ROUND(AN26*13%,0)</f>
        <v>1449</v>
      </c>
      <c r="AP26" s="40">
        <f>IF(AB26&gt;=21000,0,AL26*3.25%)</f>
        <v>445.9325</v>
      </c>
      <c r="AQ26" s="16">
        <v>5.83</v>
      </c>
      <c r="AR26" s="40">
        <f>SUM(AO26:AQ26)</f>
        <v>1900.7625</v>
      </c>
      <c r="AS26" s="40">
        <f>AL26+AR26</f>
        <v>15621.762500000001</v>
      </c>
      <c r="AT26" s="16"/>
      <c r="AU26" s="16">
        <f>ROUND(AS26+AT26,0)</f>
        <v>15622</v>
      </c>
      <c r="AV26" s="16">
        <f>ROUND(AN26*12%,0)</f>
        <v>1337</v>
      </c>
      <c r="AW26" s="16">
        <f>IF(AB26&gt;21000,0,CEILING(AL26*0.75%,1))</f>
        <v>103</v>
      </c>
      <c r="AX26" s="53">
        <v>2.5</v>
      </c>
      <c r="AY26" s="16">
        <f>IF(AL26&gt;20000,200,IF(AL26&gt;15000,150,0))</f>
        <v>0</v>
      </c>
      <c r="AZ26" s="16">
        <f>SUM(AV26:AY26)</f>
        <v>1442.5</v>
      </c>
      <c r="BA26" s="16">
        <f>ROUND(AL26-AZ26+AM26,0)</f>
        <v>12279</v>
      </c>
      <c r="BC26" s="15" t="s">
        <v>448</v>
      </c>
      <c r="BD26" s="274" t="s">
        <v>489</v>
      </c>
      <c r="BE26" s="52" t="s">
        <v>444</v>
      </c>
      <c r="BF26" s="52" t="s">
        <v>420</v>
      </c>
      <c r="BG26" s="16">
        <f>BA26</f>
        <v>12279</v>
      </c>
      <c r="BH26" s="16"/>
      <c r="BI26" s="43">
        <v>256</v>
      </c>
      <c r="BJ26" s="40">
        <f>ROUND(BG26-BI26+BH26,0)</f>
        <v>12023</v>
      </c>
      <c r="BK26" s="70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</row>
    <row r="27" spans="1:82" s="2" customFormat="1">
      <c r="A27" s="16">
        <v>13</v>
      </c>
      <c r="B27" s="9" t="s">
        <v>490</v>
      </c>
      <c r="C27" s="16" t="s">
        <v>491</v>
      </c>
      <c r="D27" s="15" t="s">
        <v>492</v>
      </c>
      <c r="E27" s="11" t="s">
        <v>492</v>
      </c>
      <c r="F27" s="11" t="s">
        <v>130</v>
      </c>
      <c r="G27" s="11" t="s">
        <v>493</v>
      </c>
      <c r="H27" s="12">
        <v>102100945927</v>
      </c>
      <c r="I27" s="16">
        <v>7011636713</v>
      </c>
      <c r="J27" s="34">
        <v>45487</v>
      </c>
      <c r="K27" s="16" t="s">
        <v>418</v>
      </c>
      <c r="L27" s="16" t="s">
        <v>230</v>
      </c>
      <c r="M27" s="16" t="s">
        <v>231</v>
      </c>
      <c r="N27" s="16" t="s">
        <v>4</v>
      </c>
      <c r="O27" s="16" t="s">
        <v>232</v>
      </c>
      <c r="P27" s="16">
        <v>31</v>
      </c>
      <c r="Q27" s="9">
        <v>11</v>
      </c>
      <c r="R27" s="9">
        <v>0</v>
      </c>
      <c r="S27" s="16">
        <v>0</v>
      </c>
      <c r="T27" s="16">
        <v>12339</v>
      </c>
      <c r="U27" s="16">
        <v>0</v>
      </c>
      <c r="V27" s="16">
        <f>T27+U27</f>
        <v>12339</v>
      </c>
      <c r="W27" s="16">
        <v>281</v>
      </c>
      <c r="X27" s="16">
        <v>0</v>
      </c>
      <c r="Y27" s="16">
        <v>0</v>
      </c>
      <c r="Z27" s="16">
        <v>1542</v>
      </c>
      <c r="AA27" s="16">
        <v>1028</v>
      </c>
      <c r="AB27" s="16">
        <f>SUM(V27:AA27)</f>
        <v>15190</v>
      </c>
      <c r="AC27" s="16">
        <f>ROUND(T27/P27*Q27,0)</f>
        <v>4378</v>
      </c>
      <c r="AD27" s="16">
        <f>ROUND(U27/P27*Q27,0)</f>
        <v>0</v>
      </c>
      <c r="AE27" s="16">
        <f>AC27+AD27</f>
        <v>4378</v>
      </c>
      <c r="AF27" s="16">
        <f>ROUND(W27/P27*Q27,0)</f>
        <v>100</v>
      </c>
      <c r="AG27" s="16">
        <f>ROUND(X27/P27*Q27,0)</f>
        <v>0</v>
      </c>
      <c r="AH27" s="16">
        <f>ROUND(Y27/P27*Q27,0)</f>
        <v>0</v>
      </c>
      <c r="AI27" s="16">
        <f>ROUND(Z27/P27*Q27,0)</f>
        <v>547</v>
      </c>
      <c r="AJ27" s="16">
        <f>ROUND((T27/26)/4*S27,0)</f>
        <v>0</v>
      </c>
      <c r="AK27" s="16">
        <f>ROUND(AA27/P27*Q27,0)</f>
        <v>365</v>
      </c>
      <c r="AL27" s="16">
        <f>ROUND(SUM(AE27:AK27),0)</f>
        <v>5390</v>
      </c>
      <c r="AM27" s="16">
        <f>ROUND(AB27/P27*R27,0)</f>
        <v>0</v>
      </c>
      <c r="AN27" s="16">
        <f>ROUND(IF(V27&gt;15000,IF(Q27&lt;P27,ROUND(15000/P27*Q27,0),15000),IF(AE27&gt;V27,V27,AE27)),0)</f>
        <v>4378</v>
      </c>
      <c r="AO27" s="16">
        <f>ROUND(AN27*13%,0)</f>
        <v>569</v>
      </c>
      <c r="AP27" s="40">
        <f>IF(AB27&gt;=21000,0,AL27*3.25%)</f>
        <v>175.17500000000001</v>
      </c>
      <c r="AQ27" s="16">
        <v>5.83</v>
      </c>
      <c r="AR27" s="40">
        <f>SUM(AO27:AQ27)</f>
        <v>750.005</v>
      </c>
      <c r="AS27" s="40">
        <f>AL27+AR27</f>
        <v>6140.0050000000001</v>
      </c>
      <c r="AT27" s="16"/>
      <c r="AU27" s="40">
        <f>ROUND(AS27+AT27,0)</f>
        <v>6140</v>
      </c>
      <c r="AV27" s="16">
        <f>ROUND(AN27*12%,0)</f>
        <v>525</v>
      </c>
      <c r="AW27" s="16">
        <f>IF(AB27&gt;21000,0,CEILING(AL27*0.75%,1))</f>
        <v>41</v>
      </c>
      <c r="AX27" s="53">
        <v>2.5</v>
      </c>
      <c r="AY27" s="16">
        <f>IF(AL27&gt;20000,200,IF(AL27&gt;15000,150,0))</f>
        <v>0</v>
      </c>
      <c r="AZ27" s="16">
        <f>SUM(AV27:AY27)</f>
        <v>568.5</v>
      </c>
      <c r="BA27" s="16">
        <f>ROUND(AL27-AZ27+AM27,0)</f>
        <v>4822</v>
      </c>
      <c r="BC27" s="15" t="s">
        <v>492</v>
      </c>
      <c r="BD27" s="274" t="s">
        <v>494</v>
      </c>
      <c r="BE27" s="52" t="s">
        <v>440</v>
      </c>
      <c r="BF27" s="52" t="s">
        <v>427</v>
      </c>
      <c r="BG27" s="16">
        <f>BA27</f>
        <v>4822</v>
      </c>
      <c r="BH27" s="40" t="e">
        <f>#REF!</f>
        <v>#REF!</v>
      </c>
      <c r="BI27" s="43">
        <v>106</v>
      </c>
      <c r="BJ27" s="40" t="e">
        <f>ROUND(BG27-BI27+BH27,0)</f>
        <v>#REF!</v>
      </c>
      <c r="BK27" s="70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</row>
    <row r="29" spans="1:82">
      <c r="A29" t="s">
        <v>495</v>
      </c>
      <c r="B29" t="s">
        <v>496</v>
      </c>
    </row>
    <row r="30" spans="1:82" s="2" customFormat="1">
      <c r="A30" s="16">
        <v>7</v>
      </c>
      <c r="B30" s="9" t="s">
        <v>497</v>
      </c>
      <c r="C30" s="16" t="s">
        <v>498</v>
      </c>
      <c r="D30" s="11" t="s">
        <v>499</v>
      </c>
      <c r="E30" s="11" t="s">
        <v>499</v>
      </c>
      <c r="F30" s="11" t="s">
        <v>130</v>
      </c>
      <c r="G30" s="11" t="s">
        <v>500</v>
      </c>
      <c r="H30" s="17">
        <v>101047303137</v>
      </c>
      <c r="I30" s="36" t="s">
        <v>501</v>
      </c>
      <c r="J30" s="37">
        <v>45444</v>
      </c>
      <c r="K30" s="16" t="s">
        <v>418</v>
      </c>
      <c r="L30" s="16" t="s">
        <v>230</v>
      </c>
      <c r="M30" s="16" t="s">
        <v>231</v>
      </c>
      <c r="N30" s="16" t="s">
        <v>5</v>
      </c>
      <c r="O30" s="16" t="s">
        <v>439</v>
      </c>
      <c r="P30" s="16">
        <v>30</v>
      </c>
      <c r="Q30" s="16">
        <v>30</v>
      </c>
      <c r="R30" s="16">
        <v>0</v>
      </c>
      <c r="S30" s="16">
        <v>0</v>
      </c>
      <c r="T30" s="16">
        <v>13151</v>
      </c>
      <c r="U30" s="16">
        <v>0</v>
      </c>
      <c r="V30" s="16">
        <f>T30+U30</f>
        <v>13151</v>
      </c>
      <c r="W30" s="16">
        <v>2127</v>
      </c>
      <c r="X30" s="40">
        <v>0</v>
      </c>
      <c r="Y30" s="16">
        <v>0</v>
      </c>
      <c r="Z30" s="16">
        <v>1644</v>
      </c>
      <c r="AA30" s="16">
        <v>1095</v>
      </c>
      <c r="AB30" s="40">
        <f>SUM(V30:AA30)</f>
        <v>18017</v>
      </c>
      <c r="AC30" s="16">
        <f>ROUND(T30/P30*Q30,0)</f>
        <v>13151</v>
      </c>
      <c r="AD30" s="16">
        <f>ROUND(U30/P30*Q30,0)</f>
        <v>0</v>
      </c>
      <c r="AE30" s="16">
        <f>AC30+AD30</f>
        <v>13151</v>
      </c>
      <c r="AF30" s="16">
        <f>ROUND(W30/P30*Q30,0)</f>
        <v>2127</v>
      </c>
      <c r="AG30" s="16">
        <f>ROUND(X30/P30*Q30,0)</f>
        <v>0</v>
      </c>
      <c r="AH30" s="16">
        <f>ROUND(Y30/P30*Q30,0)</f>
        <v>0</v>
      </c>
      <c r="AI30" s="16">
        <f>ROUND(Z30/P30*Q30,0)</f>
        <v>1644</v>
      </c>
      <c r="AJ30" s="16">
        <f>ROUND((T30/26)/4*S30,0)</f>
        <v>0</v>
      </c>
      <c r="AK30" s="16">
        <f>ROUND(AA30/P30*Q30,0)</f>
        <v>1095</v>
      </c>
      <c r="AL30" s="16">
        <f>ROUND(SUM(AE30:AK30),0)</f>
        <v>18017</v>
      </c>
      <c r="AM30" s="16">
        <f>ROUND(AB30/P30*R30,0)</f>
        <v>0</v>
      </c>
      <c r="AN30" s="16">
        <f>ROUND(IF(V30&gt;15000,IF(Q30&lt;P30,ROUND(15000/P30*Q30,0),15000),IF(AE30&gt;V30,V30,AE30)),0)</f>
        <v>13151</v>
      </c>
      <c r="AO30" s="16">
        <f>ROUND(AN30*13%,0)</f>
        <v>1710</v>
      </c>
      <c r="AP30" s="40">
        <f>IF(AB30&gt;=21000,0,AL30*3.25%)</f>
        <v>585.55250000000001</v>
      </c>
      <c r="AQ30" s="16">
        <v>5.83</v>
      </c>
      <c r="AR30" s="40">
        <f>SUM(AO30:AQ30)</f>
        <v>2301.3825000000002</v>
      </c>
      <c r="AS30" s="40">
        <f>AL30+AR30</f>
        <v>20318.3825</v>
      </c>
      <c r="AT30" s="16"/>
      <c r="AU30" s="40">
        <f>AS30+AT30</f>
        <v>20318.3825</v>
      </c>
      <c r="AV30" s="16">
        <f>ROUND(AN30*12%,0)</f>
        <v>1578</v>
      </c>
      <c r="AW30" s="16">
        <f>IF(AB30&gt;21000,0,CEILING(AL30*0.75%,1))</f>
        <v>136</v>
      </c>
      <c r="AX30" s="53">
        <v>2.5</v>
      </c>
      <c r="AY30" s="16">
        <f>IF(AL30&gt;20000,200,IF(AL30&gt;15000,150,0))</f>
        <v>150</v>
      </c>
      <c r="AZ30" s="16">
        <f>SUM(AV30:AY30)</f>
        <v>1866.5</v>
      </c>
      <c r="BA30" s="16">
        <f>ROUND(AL30-AZ30+AM30,0)</f>
        <v>16151</v>
      </c>
      <c r="BC30" s="11" t="s">
        <v>499</v>
      </c>
      <c r="BD30" s="270" t="s">
        <v>502</v>
      </c>
      <c r="BE30" s="65" t="s">
        <v>503</v>
      </c>
      <c r="BF30" s="66" t="s">
        <v>477</v>
      </c>
      <c r="BG30" s="16">
        <f>BA30</f>
        <v>16151</v>
      </c>
      <c r="BH30" s="43"/>
      <c r="BI30" s="40">
        <f>ROUND(BG30-BH30,0)</f>
        <v>16151</v>
      </c>
      <c r="BJ30" s="70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</row>
    <row r="31" spans="1:82" s="2" customFormat="1">
      <c r="A31" s="16">
        <v>8</v>
      </c>
      <c r="B31" s="9" t="s">
        <v>504</v>
      </c>
      <c r="C31" s="16" t="s">
        <v>505</v>
      </c>
      <c r="D31" s="15" t="s">
        <v>506</v>
      </c>
      <c r="E31" s="11" t="s">
        <v>506</v>
      </c>
      <c r="F31" s="11" t="s">
        <v>120</v>
      </c>
      <c r="G31" s="11" t="s">
        <v>507</v>
      </c>
      <c r="H31" s="12">
        <v>102100945915</v>
      </c>
      <c r="I31" s="16">
        <v>7011608091</v>
      </c>
      <c r="J31" s="37">
        <v>45475</v>
      </c>
      <c r="K31" s="16" t="s">
        <v>418</v>
      </c>
      <c r="L31" s="16" t="s">
        <v>230</v>
      </c>
      <c r="M31" s="16" t="s">
        <v>231</v>
      </c>
      <c r="N31" s="16" t="s">
        <v>4</v>
      </c>
      <c r="O31" s="16" t="s">
        <v>232</v>
      </c>
      <c r="P31" s="16">
        <v>30</v>
      </c>
      <c r="Q31" s="16">
        <v>30</v>
      </c>
      <c r="R31" s="16">
        <v>0</v>
      </c>
      <c r="S31" s="16">
        <v>0</v>
      </c>
      <c r="T31" s="16">
        <v>12531</v>
      </c>
      <c r="U31" s="16">
        <v>0</v>
      </c>
      <c r="V31" s="16">
        <f>T31+U31</f>
        <v>12531</v>
      </c>
      <c r="W31" s="16">
        <v>281</v>
      </c>
      <c r="X31" s="16">
        <v>0</v>
      </c>
      <c r="Y31" s="16">
        <v>0</v>
      </c>
      <c r="Z31" s="16">
        <v>1566</v>
      </c>
      <c r="AA31" s="16">
        <v>1044</v>
      </c>
      <c r="AB31" s="16">
        <f>SUM(V31:AA31)</f>
        <v>15422</v>
      </c>
      <c r="AC31" s="16">
        <f>ROUND(T31/P31*Q31,0)</f>
        <v>12531</v>
      </c>
      <c r="AD31" s="16">
        <f>ROUND(U31/P31*Q31,0)</f>
        <v>0</v>
      </c>
      <c r="AE31" s="16">
        <f>AC31+AD31</f>
        <v>12531</v>
      </c>
      <c r="AF31" s="16">
        <f>ROUND(W31/P31*Q31,0)</f>
        <v>281</v>
      </c>
      <c r="AG31" s="16">
        <f>ROUND(X31/P31*Q31,0)</f>
        <v>0</v>
      </c>
      <c r="AH31" s="16">
        <f>ROUND(Y31/P31*Q31,0)</f>
        <v>0</v>
      </c>
      <c r="AI31" s="16">
        <f>ROUND(Z31/P31*Q31,0)</f>
        <v>1566</v>
      </c>
      <c r="AJ31" s="16">
        <f>ROUND((T31/26)/4*S31,0)</f>
        <v>0</v>
      </c>
      <c r="AK31" s="16">
        <f>ROUND(AA31/P31*Q31,0)</f>
        <v>1044</v>
      </c>
      <c r="AL31" s="16">
        <f>ROUND(SUM(AE31:AK31),0)</f>
        <v>15422</v>
      </c>
      <c r="AM31" s="16">
        <f>ROUND(AB31/P31*R31,0)</f>
        <v>0</v>
      </c>
      <c r="AN31" s="16">
        <f>ROUND(IF(V31&gt;15000,IF(Q31&lt;P31,ROUND(15000/P31*Q31,0),15000),IF(AE31&gt;V31,V31,AE31)),0)</f>
        <v>12531</v>
      </c>
      <c r="AO31" s="16">
        <f>ROUND(AN31*13%,0)</f>
        <v>1629</v>
      </c>
      <c r="AP31" s="40">
        <f>IF(AB31&gt;=21000,0,AL31*3.25%)</f>
        <v>501.21499999999997</v>
      </c>
      <c r="AQ31" s="16">
        <v>5.83</v>
      </c>
      <c r="AR31" s="40">
        <f>SUM(AO31:AQ31)</f>
        <v>2136.0450000000001</v>
      </c>
      <c r="AS31" s="40">
        <f>AL31+AR31</f>
        <v>17558.044999999998</v>
      </c>
      <c r="AT31" s="16"/>
      <c r="AU31" s="40">
        <f>AS31+AT31</f>
        <v>17558.044999999998</v>
      </c>
      <c r="AV31" s="16">
        <f>ROUND(AN31*12%,0)</f>
        <v>1504</v>
      </c>
      <c r="AW31" s="16">
        <f>IF(AB31&gt;21000,0,CEILING(AL31*0.75%,1))</f>
        <v>116</v>
      </c>
      <c r="AX31" s="53">
        <v>2.5</v>
      </c>
      <c r="AY31" s="16">
        <f>IF(AL31&gt;20000,200,IF(AL31&gt;15000,150,0))</f>
        <v>150</v>
      </c>
      <c r="AZ31" s="16">
        <f>SUM(AV31:AY31)</f>
        <v>1772.5</v>
      </c>
      <c r="BA31" s="16">
        <f>ROUND(AL31-AZ31+AM31,0)</f>
        <v>13650</v>
      </c>
      <c r="BC31" s="11" t="s">
        <v>506</v>
      </c>
      <c r="BD31" s="274" t="s">
        <v>508</v>
      </c>
      <c r="BE31" s="52" t="s">
        <v>509</v>
      </c>
      <c r="BF31" s="52" t="s">
        <v>427</v>
      </c>
      <c r="BG31" s="16">
        <f>BA31</f>
        <v>13650</v>
      </c>
      <c r="BH31" s="43"/>
      <c r="BI31" s="40">
        <f>ROUND(BG31-BH31,0)</f>
        <v>13650</v>
      </c>
      <c r="BJ31" s="70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</row>
    <row r="32" spans="1:82" s="2" customFormat="1">
      <c r="A32" s="16">
        <v>11</v>
      </c>
      <c r="B32" s="9" t="s">
        <v>510</v>
      </c>
      <c r="C32" s="16" t="s">
        <v>511</v>
      </c>
      <c r="D32" s="15" t="s">
        <v>512</v>
      </c>
      <c r="E32" s="11" t="s">
        <v>512</v>
      </c>
      <c r="F32" s="11" t="s">
        <v>120</v>
      </c>
      <c r="G32" s="18" t="s">
        <v>513</v>
      </c>
      <c r="H32" s="12">
        <v>102113135976</v>
      </c>
      <c r="I32" s="16">
        <v>7011625670</v>
      </c>
      <c r="J32" s="37">
        <v>45505</v>
      </c>
      <c r="K32" s="16" t="s">
        <v>418</v>
      </c>
      <c r="L32" s="16" t="s">
        <v>230</v>
      </c>
      <c r="M32" s="16" t="s">
        <v>231</v>
      </c>
      <c r="N32" s="16" t="s">
        <v>4</v>
      </c>
      <c r="O32" s="16" t="s">
        <v>232</v>
      </c>
      <c r="P32" s="16">
        <v>30</v>
      </c>
      <c r="Q32" s="16">
        <v>30</v>
      </c>
      <c r="R32" s="16">
        <v>0</v>
      </c>
      <c r="S32" s="16">
        <v>0</v>
      </c>
      <c r="T32" s="16">
        <v>12531</v>
      </c>
      <c r="U32" s="16">
        <v>0</v>
      </c>
      <c r="V32" s="16">
        <f>T32+U32</f>
        <v>12531</v>
      </c>
      <c r="W32" s="16">
        <v>281</v>
      </c>
      <c r="X32" s="16">
        <v>0</v>
      </c>
      <c r="Y32" s="16">
        <v>0</v>
      </c>
      <c r="Z32" s="16">
        <v>1566</v>
      </c>
      <c r="AA32" s="16">
        <v>1044</v>
      </c>
      <c r="AB32" s="40">
        <f>SUM(V32:AA32)</f>
        <v>15422</v>
      </c>
      <c r="AC32" s="16">
        <f>ROUND(T32/P32*Q32,0)</f>
        <v>12531</v>
      </c>
      <c r="AD32" s="16">
        <f>ROUND(U32/P32*Q32,0)</f>
        <v>0</v>
      </c>
      <c r="AE32" s="16">
        <f>AC32+AD32</f>
        <v>12531</v>
      </c>
      <c r="AF32" s="16">
        <f>ROUND(W32/P32*Q32,0)</f>
        <v>281</v>
      </c>
      <c r="AG32" s="16">
        <f>ROUND(X32/P32*Q32,0)</f>
        <v>0</v>
      </c>
      <c r="AH32" s="16">
        <f>ROUND(Y32/P32*Q32,0)</f>
        <v>0</v>
      </c>
      <c r="AI32" s="16">
        <f>ROUND(Z32/P32*Q32,0)</f>
        <v>1566</v>
      </c>
      <c r="AJ32" s="16">
        <f>ROUND((T32/26)/4*S32,0)</f>
        <v>0</v>
      </c>
      <c r="AK32" s="16">
        <f>ROUND(AA32/P32*Q32,0)</f>
        <v>1044</v>
      </c>
      <c r="AL32" s="16">
        <f>ROUND(SUM(AE32:AK32),0)</f>
        <v>15422</v>
      </c>
      <c r="AM32" s="16">
        <f>ROUND(AB32/P32*R32,0)</f>
        <v>0</v>
      </c>
      <c r="AN32" s="16">
        <f>ROUND(IF(V32&gt;15000,IF(Q32&lt;P32,ROUND(15000/P32*Q32,0),15000),IF(AE32&gt;V32,V32,AE32)),0)</f>
        <v>12531</v>
      </c>
      <c r="AO32" s="16">
        <f>ROUND(AN32*13%,0)</f>
        <v>1629</v>
      </c>
      <c r="AP32" s="40">
        <f>IF(AB32&gt;=21000,0,AL32*3.25%)</f>
        <v>501.21499999999997</v>
      </c>
      <c r="AQ32" s="16">
        <v>5.83</v>
      </c>
      <c r="AR32" s="40">
        <f>SUM(AO32:AQ32)</f>
        <v>2136.0450000000001</v>
      </c>
      <c r="AS32" s="40">
        <f>AL32+AR32</f>
        <v>17558.044999999998</v>
      </c>
      <c r="AT32" s="16"/>
      <c r="AU32" s="40">
        <f>AS32+AT32</f>
        <v>17558.044999999998</v>
      </c>
      <c r="AV32" s="16">
        <f>ROUND(AN32*12%,0)</f>
        <v>1504</v>
      </c>
      <c r="AW32" s="16">
        <f>IF(AB32&gt;21000,0,CEILING(AL32*0.75%,1))</f>
        <v>116</v>
      </c>
      <c r="AX32" s="53">
        <v>2.5</v>
      </c>
      <c r="AY32" s="16">
        <f>IF(AL32&gt;20000,200,IF(AL32&gt;15000,150,0))</f>
        <v>150</v>
      </c>
      <c r="AZ32" s="16">
        <f>SUM(AV32:AY32)</f>
        <v>1772.5</v>
      </c>
      <c r="BA32" s="16">
        <f>ROUND(AL32-AZ32+AM32,0)</f>
        <v>13650</v>
      </c>
      <c r="BC32" s="15" t="s">
        <v>512</v>
      </c>
      <c r="BD32" s="54" t="s">
        <v>514</v>
      </c>
      <c r="BE32" s="8" t="s">
        <v>515</v>
      </c>
      <c r="BF32" s="52" t="s">
        <v>516</v>
      </c>
      <c r="BG32" s="16">
        <f>BA32</f>
        <v>13650</v>
      </c>
      <c r="BH32" s="43"/>
      <c r="BI32" s="40">
        <f>ROUND(BG32-BH32,0)</f>
        <v>13650</v>
      </c>
      <c r="BJ32" s="70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</row>
    <row r="33" spans="1:81" s="3" customFormat="1">
      <c r="A33" s="19">
        <v>16</v>
      </c>
      <c r="B33" s="20" t="s">
        <v>517</v>
      </c>
      <c r="C33" s="21" t="s">
        <v>518</v>
      </c>
      <c r="D33" s="22" t="s">
        <v>519</v>
      </c>
      <c r="E33" s="22" t="s">
        <v>520</v>
      </c>
      <c r="F33" s="22" t="s">
        <v>130</v>
      </c>
      <c r="G33" s="23"/>
      <c r="H33" s="24">
        <v>102138431584</v>
      </c>
      <c r="I33" s="19">
        <v>7011664769</v>
      </c>
      <c r="J33" s="19" t="s">
        <v>521</v>
      </c>
      <c r="K33" s="19" t="s">
        <v>418</v>
      </c>
      <c r="L33" s="19" t="s">
        <v>230</v>
      </c>
      <c r="M33" s="19" t="s">
        <v>231</v>
      </c>
      <c r="N33" s="19" t="s">
        <v>4</v>
      </c>
      <c r="O33" s="19" t="s">
        <v>232</v>
      </c>
      <c r="P33" s="16">
        <v>30</v>
      </c>
      <c r="Q33" s="16">
        <v>30</v>
      </c>
      <c r="R33" s="16">
        <v>0</v>
      </c>
      <c r="S33" s="16">
        <v>0</v>
      </c>
      <c r="T33" s="19">
        <v>12531</v>
      </c>
      <c r="U33" s="19">
        <v>0</v>
      </c>
      <c r="V33" s="19">
        <f>T33+U33</f>
        <v>12531</v>
      </c>
      <c r="W33" s="19">
        <v>281</v>
      </c>
      <c r="X33" s="19">
        <v>0</v>
      </c>
      <c r="Y33" s="19">
        <v>0</v>
      </c>
      <c r="Z33" s="19">
        <v>1566</v>
      </c>
      <c r="AA33" s="19">
        <v>1044</v>
      </c>
      <c r="AB33" s="41">
        <f>SUM(V33:AA33)</f>
        <v>15422</v>
      </c>
      <c r="AC33" s="19">
        <f>ROUND(T33/P33*Q33,0)</f>
        <v>12531</v>
      </c>
      <c r="AD33" s="19">
        <f>ROUND(U33/P33*Q33,0)</f>
        <v>0</v>
      </c>
      <c r="AE33" s="19">
        <f>AC33+AD33</f>
        <v>12531</v>
      </c>
      <c r="AF33" s="19">
        <f>ROUND(W33/P33*Q33,0)</f>
        <v>281</v>
      </c>
      <c r="AG33" s="19">
        <f>ROUND(X33/P33*Q33,0)</f>
        <v>0</v>
      </c>
      <c r="AH33" s="19">
        <f>ROUND(Y33/P33*Q33,0)</f>
        <v>0</v>
      </c>
      <c r="AI33" s="19">
        <f>ROUND(Z33/P33*Q33,0)</f>
        <v>1566</v>
      </c>
      <c r="AJ33" s="19">
        <f>ROUND((T33/26)/4*S33,0)</f>
        <v>0</v>
      </c>
      <c r="AK33" s="19">
        <f>ROUND(AA33/P33*Q33,0)</f>
        <v>1044</v>
      </c>
      <c r="AL33" s="19">
        <f>ROUND(SUM(AE33:AK33),0)</f>
        <v>15422</v>
      </c>
      <c r="AM33" s="19">
        <f>ROUND(AB33/P33*R33,0)</f>
        <v>0</v>
      </c>
      <c r="AN33" s="19">
        <f>ROUND(IF(V33&gt;15000,IF(Q33&lt;P33,ROUND(15000/P33*Q33,0),15000),IF(AE33&gt;V33,V33,AE33)),0)</f>
        <v>12531</v>
      </c>
      <c r="AO33" s="19">
        <f>ROUND(AN33*13%,0)</f>
        <v>1629</v>
      </c>
      <c r="AP33" s="41">
        <f>IF(AB33&gt;=21000,0,AL33*3.25%)</f>
        <v>501.21499999999997</v>
      </c>
      <c r="AQ33" s="19">
        <v>5.83</v>
      </c>
      <c r="AR33" s="41">
        <f>SUM(AO33:AQ33)</f>
        <v>2136.0450000000001</v>
      </c>
      <c r="AS33" s="41">
        <f>AL33+AR33</f>
        <v>17558.044999999998</v>
      </c>
      <c r="AT33" s="19"/>
      <c r="AU33" s="41">
        <f>AS33+AT33</f>
        <v>17558.044999999998</v>
      </c>
      <c r="AV33" s="19">
        <f>ROUND(AN33*12%,0)</f>
        <v>1504</v>
      </c>
      <c r="AW33" s="19">
        <f>IF(AB33&gt;21000,0,CEILING(AL33*0.75%,1))</f>
        <v>116</v>
      </c>
      <c r="AX33" s="55">
        <v>2.5</v>
      </c>
      <c r="AY33" s="19">
        <f>IF(AL33&gt;20000,200,IF(AL33&gt;15000,150,0))</f>
        <v>150</v>
      </c>
      <c r="AZ33" s="19">
        <f>SUM(AV33:AY33)</f>
        <v>1772.5</v>
      </c>
      <c r="BA33" s="19">
        <f>ROUND(AL33-AZ33+AM33,0)</f>
        <v>13650</v>
      </c>
      <c r="BC33" s="22" t="s">
        <v>519</v>
      </c>
      <c r="BD33" s="275" t="s">
        <v>522</v>
      </c>
      <c r="BE33" s="56" t="s">
        <v>523</v>
      </c>
      <c r="BF33" s="56" t="s">
        <v>427</v>
      </c>
      <c r="BG33" s="19">
        <f>BA33</f>
        <v>13650</v>
      </c>
      <c r="BH33" s="71"/>
      <c r="BI33" s="71">
        <f>ROUND(BG33-BH33,0)</f>
        <v>13650</v>
      </c>
      <c r="BJ33" s="72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</row>
    <row r="35" spans="1:81">
      <c r="A35" t="s">
        <v>524</v>
      </c>
      <c r="B35" t="s">
        <v>525</v>
      </c>
    </row>
    <row r="36" spans="1:81" s="1" customFormat="1" ht="79.5">
      <c r="A36" s="6" t="s">
        <v>168</v>
      </c>
      <c r="B36" s="6" t="s">
        <v>169</v>
      </c>
      <c r="C36" s="6" t="s">
        <v>170</v>
      </c>
      <c r="D36" s="6" t="s">
        <v>171</v>
      </c>
      <c r="E36" s="6" t="s">
        <v>409</v>
      </c>
      <c r="F36" s="6" t="s">
        <v>109</v>
      </c>
      <c r="G36" s="6" t="s">
        <v>410</v>
      </c>
      <c r="H36" s="7" t="s">
        <v>173</v>
      </c>
      <c r="I36" s="6" t="s">
        <v>174</v>
      </c>
      <c r="J36" s="32" t="s">
        <v>175</v>
      </c>
      <c r="K36" s="6" t="s">
        <v>176</v>
      </c>
      <c r="L36" s="6" t="s">
        <v>177</v>
      </c>
      <c r="M36" s="6" t="s">
        <v>178</v>
      </c>
      <c r="N36" s="6" t="s">
        <v>179</v>
      </c>
      <c r="O36" s="6" t="s">
        <v>180</v>
      </c>
      <c r="P36" s="33" t="s">
        <v>182</v>
      </c>
      <c r="Q36" s="33" t="s">
        <v>183</v>
      </c>
      <c r="R36" s="33" t="s">
        <v>469</v>
      </c>
      <c r="S36" s="33" t="s">
        <v>20</v>
      </c>
      <c r="T36" s="7" t="s">
        <v>184</v>
      </c>
      <c r="U36" s="6" t="s">
        <v>185</v>
      </c>
      <c r="V36" s="7" t="s">
        <v>186</v>
      </c>
      <c r="W36" s="6" t="s">
        <v>23</v>
      </c>
      <c r="X36" s="6" t="s">
        <v>24</v>
      </c>
      <c r="Y36" s="6" t="s">
        <v>187</v>
      </c>
      <c r="Z36" s="6" t="s">
        <v>188</v>
      </c>
      <c r="AA36" s="6" t="s">
        <v>189</v>
      </c>
      <c r="AB36" s="42" t="s">
        <v>190</v>
      </c>
      <c r="AC36" s="6" t="s">
        <v>184</v>
      </c>
      <c r="AD36" s="6" t="s">
        <v>185</v>
      </c>
      <c r="AE36" s="6" t="s">
        <v>186</v>
      </c>
      <c r="AF36" s="6" t="s">
        <v>23</v>
      </c>
      <c r="AG36" s="6" t="s">
        <v>24</v>
      </c>
      <c r="AH36" s="6" t="s">
        <v>187</v>
      </c>
      <c r="AI36" s="6" t="s">
        <v>188</v>
      </c>
      <c r="AJ36" s="6" t="s">
        <v>411</v>
      </c>
      <c r="AK36" s="6" t="s">
        <v>189</v>
      </c>
      <c r="AL36" s="6" t="s">
        <v>190</v>
      </c>
      <c r="AM36" s="6" t="s">
        <v>412</v>
      </c>
      <c r="AN36" s="6" t="s">
        <v>192</v>
      </c>
      <c r="AO36" s="6" t="s">
        <v>193</v>
      </c>
      <c r="AP36" s="6" t="s">
        <v>194</v>
      </c>
      <c r="AQ36" s="6" t="s">
        <v>195</v>
      </c>
      <c r="AR36" s="6" t="s">
        <v>196</v>
      </c>
      <c r="AS36" s="6" t="s">
        <v>197</v>
      </c>
      <c r="AT36" s="6" t="s">
        <v>198</v>
      </c>
      <c r="AU36" s="6" t="s">
        <v>199</v>
      </c>
      <c r="AV36" s="6" t="s">
        <v>200</v>
      </c>
      <c r="AW36" s="6" t="s">
        <v>201</v>
      </c>
      <c r="AX36" s="6" t="s">
        <v>202</v>
      </c>
      <c r="AY36" s="6" t="s">
        <v>203</v>
      </c>
      <c r="AZ36" s="6" t="s">
        <v>204</v>
      </c>
      <c r="BA36" s="6" t="s">
        <v>205</v>
      </c>
      <c r="BB36" s="45"/>
      <c r="BC36" s="46" t="s">
        <v>206</v>
      </c>
      <c r="BD36" s="47" t="s">
        <v>207</v>
      </c>
      <c r="BE36" s="6" t="s">
        <v>208</v>
      </c>
      <c r="BF36" s="61" t="s">
        <v>413</v>
      </c>
      <c r="BG36" s="6" t="s">
        <v>205</v>
      </c>
      <c r="BH36" s="6" t="s">
        <v>209</v>
      </c>
      <c r="BI36" s="6" t="s">
        <v>210</v>
      </c>
      <c r="BJ36" s="6" t="s">
        <v>211</v>
      </c>
      <c r="BL36" s="62" t="s">
        <v>212</v>
      </c>
      <c r="BM36" s="62" t="s">
        <v>213</v>
      </c>
      <c r="BN36" s="62" t="s">
        <v>109</v>
      </c>
      <c r="BO36" s="62" t="s">
        <v>214</v>
      </c>
      <c r="BP36" s="62" t="s">
        <v>215</v>
      </c>
      <c r="BQ36" s="62" t="s">
        <v>216</v>
      </c>
      <c r="BR36" s="62" t="s">
        <v>217</v>
      </c>
      <c r="BS36" s="78" t="s">
        <v>218</v>
      </c>
      <c r="BT36" s="62" t="s">
        <v>219</v>
      </c>
      <c r="BU36" s="62" t="s">
        <v>220</v>
      </c>
      <c r="BV36" s="62" t="s">
        <v>221</v>
      </c>
      <c r="BW36" s="62" t="s">
        <v>220</v>
      </c>
      <c r="BX36" s="62" t="s">
        <v>218</v>
      </c>
      <c r="BY36" s="79" t="s">
        <v>222</v>
      </c>
      <c r="BZ36" s="79" t="s">
        <v>223</v>
      </c>
      <c r="CA36" s="79" t="s">
        <v>224</v>
      </c>
      <c r="CB36" s="79" t="s">
        <v>225</v>
      </c>
      <c r="CC36" s="79"/>
    </row>
    <row r="37" spans="1:81" s="2" customFormat="1">
      <c r="A37" s="16">
        <v>6</v>
      </c>
      <c r="B37" s="9" t="s">
        <v>526</v>
      </c>
      <c r="C37" s="16" t="s">
        <v>527</v>
      </c>
      <c r="D37" s="11" t="s">
        <v>528</v>
      </c>
      <c r="E37" s="11" t="s">
        <v>528</v>
      </c>
      <c r="F37" s="11" t="s">
        <v>120</v>
      </c>
      <c r="G37" s="11" t="s">
        <v>529</v>
      </c>
      <c r="H37" s="12">
        <v>101712950677</v>
      </c>
      <c r="I37" s="16">
        <v>7011588504</v>
      </c>
      <c r="J37" s="37">
        <v>45454</v>
      </c>
      <c r="K37" s="16" t="s">
        <v>418</v>
      </c>
      <c r="L37" s="16" t="s">
        <v>230</v>
      </c>
      <c r="M37" s="16" t="s">
        <v>231</v>
      </c>
      <c r="N37" s="16" t="s">
        <v>4</v>
      </c>
      <c r="O37" s="16" t="s">
        <v>232</v>
      </c>
      <c r="P37" s="16">
        <v>31</v>
      </c>
      <c r="Q37" s="16">
        <v>31</v>
      </c>
      <c r="R37" s="16">
        <v>0</v>
      </c>
      <c r="S37" s="16">
        <v>0</v>
      </c>
      <c r="T37" s="16">
        <v>12531</v>
      </c>
      <c r="U37" s="16">
        <v>0</v>
      </c>
      <c r="V37" s="16">
        <f>T37+U37</f>
        <v>12531</v>
      </c>
      <c r="W37" s="16">
        <v>281</v>
      </c>
      <c r="X37" s="16">
        <v>0</v>
      </c>
      <c r="Y37" s="16">
        <v>0</v>
      </c>
      <c r="Z37" s="16">
        <v>1566</v>
      </c>
      <c r="AA37" s="16">
        <v>1044</v>
      </c>
      <c r="AB37" s="16">
        <f>SUM(V37:AA37)</f>
        <v>15422</v>
      </c>
      <c r="AC37" s="16">
        <f>ROUND(T37/P37*Q37,0)</f>
        <v>12531</v>
      </c>
      <c r="AD37" s="16">
        <f>ROUND(U37/P37*Q37,0)</f>
        <v>0</v>
      </c>
      <c r="AE37" s="16">
        <f>AC37+AD37</f>
        <v>12531</v>
      </c>
      <c r="AF37" s="16">
        <f>ROUND(W37/P37*Q37,0)</f>
        <v>281</v>
      </c>
      <c r="AG37" s="16">
        <f>ROUND(X37/P37*Q37,0)</f>
        <v>0</v>
      </c>
      <c r="AH37" s="16">
        <f>ROUND(Y37/P37*Q37,0)</f>
        <v>0</v>
      </c>
      <c r="AI37" s="16">
        <f>ROUND(Z37/P37*Q37,0)</f>
        <v>1566</v>
      </c>
      <c r="AJ37" s="16">
        <f>ROUND((T37/26)/4*S37,0)</f>
        <v>0</v>
      </c>
      <c r="AK37" s="16">
        <f>ROUND(AA37/P37*Q37,0)</f>
        <v>1044</v>
      </c>
      <c r="AL37" s="16">
        <f>ROUND(SUM(AE37:AK37),0)</f>
        <v>15422</v>
      </c>
      <c r="AM37" s="16">
        <f>ROUND(AB37/P37*R37,0)</f>
        <v>0</v>
      </c>
      <c r="AN37" s="16">
        <f>ROUND(IF(V37&gt;15000,IF(Q37&lt;P37,ROUND(15000/P37*Q37,0),15000),IF(AE37&gt;V37,V37,AE37)),0)</f>
        <v>12531</v>
      </c>
      <c r="AO37" s="16">
        <f>ROUND(AN37*13%,0)</f>
        <v>1629</v>
      </c>
      <c r="AP37" s="40">
        <f>IF(AB37&gt;=21000,0,AL37*3.25%)</f>
        <v>501.21499999999997</v>
      </c>
      <c r="AQ37" s="16">
        <v>5.83</v>
      </c>
      <c r="AR37" s="40">
        <f>SUM(AO37:AQ37)</f>
        <v>2136.0450000000001</v>
      </c>
      <c r="AS37" s="40">
        <f>AL37+AR37</f>
        <v>17558.044999999998</v>
      </c>
      <c r="AT37" s="16"/>
      <c r="AU37" s="40">
        <f>AS37+AT37</f>
        <v>17558.044999999998</v>
      </c>
      <c r="AV37" s="16">
        <f>ROUND(AN37*12%,0)</f>
        <v>1504</v>
      </c>
      <c r="AW37" s="16">
        <f>IF(AB37&gt;21000,0,CEILING(AL37*0.75%,1))</f>
        <v>116</v>
      </c>
      <c r="AX37" s="53">
        <v>2.5</v>
      </c>
      <c r="AY37" s="16">
        <f>IF(AL37&gt;20000,200,IF(AL37&gt;15000,150,0))</f>
        <v>150</v>
      </c>
      <c r="AZ37" s="16">
        <f>SUM(AV37:AY37)</f>
        <v>1772.5</v>
      </c>
      <c r="BA37" s="16">
        <f>ROUND(AL37-AZ37+AM37,0)</f>
        <v>13650</v>
      </c>
      <c r="BC37" s="11" t="s">
        <v>528</v>
      </c>
      <c r="BD37" s="273" t="s">
        <v>530</v>
      </c>
      <c r="BE37" s="68" t="s">
        <v>476</v>
      </c>
      <c r="BF37" s="68" t="s">
        <v>477</v>
      </c>
      <c r="BG37" s="16">
        <f>BA37</f>
        <v>13650</v>
      </c>
      <c r="BH37" s="43">
        <v>95</v>
      </c>
      <c r="BI37" s="40">
        <f>ROUND(BG37-BH37,0)</f>
        <v>13555</v>
      </c>
      <c r="BJ37" s="70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</row>
    <row r="38" spans="1:81" s="4" customFormat="1">
      <c r="A38" s="25">
        <v>9</v>
      </c>
      <c r="B38" s="25" t="s">
        <v>531</v>
      </c>
      <c r="C38" s="26" t="s">
        <v>532</v>
      </c>
      <c r="D38" s="27" t="s">
        <v>533</v>
      </c>
      <c r="E38" s="28" t="s">
        <v>533</v>
      </c>
      <c r="F38" s="28" t="s">
        <v>130</v>
      </c>
      <c r="G38" s="28" t="s">
        <v>87</v>
      </c>
      <c r="H38" s="29">
        <v>102123677383</v>
      </c>
      <c r="I38" s="25">
        <v>7011652406</v>
      </c>
      <c r="J38" s="38">
        <v>45528</v>
      </c>
      <c r="K38" s="25" t="s">
        <v>418</v>
      </c>
      <c r="L38" s="25" t="s">
        <v>230</v>
      </c>
      <c r="M38" s="25" t="s">
        <v>231</v>
      </c>
      <c r="N38" s="25" t="s">
        <v>4</v>
      </c>
      <c r="O38" s="25" t="s">
        <v>232</v>
      </c>
      <c r="P38" s="25">
        <v>31</v>
      </c>
      <c r="Q38" s="25">
        <v>31</v>
      </c>
      <c r="R38" s="25">
        <v>0</v>
      </c>
      <c r="S38" s="25">
        <v>0</v>
      </c>
      <c r="T38" s="25">
        <v>12531</v>
      </c>
      <c r="U38" s="25">
        <v>0</v>
      </c>
      <c r="V38" s="25">
        <f>T38+U38</f>
        <v>12531</v>
      </c>
      <c r="W38" s="25">
        <v>281</v>
      </c>
      <c r="X38" s="25">
        <v>0</v>
      </c>
      <c r="Y38" s="25">
        <v>0</v>
      </c>
      <c r="Z38" s="25">
        <v>1566</v>
      </c>
      <c r="AA38" s="25">
        <v>1044</v>
      </c>
      <c r="AB38" s="25">
        <f>SUM(V38:AA38)</f>
        <v>15422</v>
      </c>
      <c r="AC38" s="25">
        <f>ROUND(T38/P38*Q38,0)</f>
        <v>12531</v>
      </c>
      <c r="AD38" s="25">
        <f>ROUND(U38/P38*Q38,0)</f>
        <v>0</v>
      </c>
      <c r="AE38" s="25">
        <f>AC38+AD38</f>
        <v>12531</v>
      </c>
      <c r="AF38" s="25">
        <f>ROUND(W38/P38*Q38,0)</f>
        <v>281</v>
      </c>
      <c r="AG38" s="25">
        <f>ROUND(X38/P38*Q38,0)</f>
        <v>0</v>
      </c>
      <c r="AH38" s="25">
        <f>ROUND(Y38/P38*Q38,0)</f>
        <v>0</v>
      </c>
      <c r="AI38" s="25">
        <f>ROUND(Z38/P38*Q38,0)</f>
        <v>1566</v>
      </c>
      <c r="AJ38" s="25">
        <f>ROUND((T38/26)/4*S38,0)</f>
        <v>0</v>
      </c>
      <c r="AK38" s="25">
        <f>ROUND(AA38/P38*Q38,0)</f>
        <v>1044</v>
      </c>
      <c r="AL38" s="25">
        <f>ROUND(SUM(AE38:AK38),0)</f>
        <v>15422</v>
      </c>
      <c r="AM38" s="25">
        <f>ROUND(AB38/P38*R38,0)</f>
        <v>0</v>
      </c>
      <c r="AN38" s="25">
        <f>ROUND(IF(V38&gt;15000,IF(Q38&lt;P38,ROUND(15000/P38*Q38,0),15000),IF(AE38&gt;V38,V38,AE38)),0)</f>
        <v>12531</v>
      </c>
      <c r="AO38" s="25">
        <f>ROUND(AN38*13%,0)</f>
        <v>1629</v>
      </c>
      <c r="AP38" s="44">
        <f>IF(AB38&gt;=21000,0,AL38*3.25%)</f>
        <v>501.21499999999997</v>
      </c>
      <c r="AQ38" s="25">
        <v>5.83</v>
      </c>
      <c r="AR38" s="44">
        <f>SUM(AO38:AQ38)</f>
        <v>2136.0450000000001</v>
      </c>
      <c r="AS38" s="44">
        <f>AL38+AR38</f>
        <v>17558.044999999998</v>
      </c>
      <c r="AT38" s="25"/>
      <c r="AU38" s="44">
        <f>AS38+AT38</f>
        <v>17558.044999999998</v>
      </c>
      <c r="AV38" s="25">
        <f>ROUND(AN38*12%,0)</f>
        <v>1504</v>
      </c>
      <c r="AW38" s="25">
        <f>IF(AB38&gt;21000,0,CEILING(AL38*0.75%,1))</f>
        <v>116</v>
      </c>
      <c r="AX38" s="57">
        <v>2.5</v>
      </c>
      <c r="AY38" s="25">
        <f>IF(AL38&gt;20000,200,IF(AL38&gt;15000,150,0))</f>
        <v>150</v>
      </c>
      <c r="AZ38" s="25">
        <f>SUM(AV38:AY38)</f>
        <v>1772.5</v>
      </c>
      <c r="BA38" s="25">
        <f>ROUND(AL38-AZ38+AM38,0)</f>
        <v>13650</v>
      </c>
      <c r="BC38" s="27" t="s">
        <v>533</v>
      </c>
      <c r="BD38" s="58">
        <v>33426073618</v>
      </c>
      <c r="BE38" s="58" t="s">
        <v>534</v>
      </c>
      <c r="BF38" s="58" t="s">
        <v>427</v>
      </c>
      <c r="BG38" s="25">
        <f>BA38</f>
        <v>13650</v>
      </c>
      <c r="BH38" s="73">
        <v>95</v>
      </c>
      <c r="BI38" s="44">
        <f>ROUND(BG38-BH38,0)</f>
        <v>13555</v>
      </c>
      <c r="BJ38" s="74" t="s">
        <v>535</v>
      </c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</row>
    <row r="40" spans="1:81">
      <c r="A40" t="s">
        <v>536</v>
      </c>
      <c r="B40" t="s">
        <v>537</v>
      </c>
    </row>
    <row r="41" spans="1:81" s="1" customFormat="1" ht="61.5" customHeight="1">
      <c r="A41" s="6" t="s">
        <v>168</v>
      </c>
      <c r="B41" s="6" t="s">
        <v>169</v>
      </c>
      <c r="C41" s="6" t="s">
        <v>170</v>
      </c>
      <c r="D41" s="6" t="s">
        <v>171</v>
      </c>
      <c r="E41" s="6" t="s">
        <v>409</v>
      </c>
      <c r="F41" s="6" t="s">
        <v>109</v>
      </c>
      <c r="G41" s="6" t="s">
        <v>410</v>
      </c>
      <c r="H41" s="7" t="s">
        <v>173</v>
      </c>
      <c r="I41" s="6" t="s">
        <v>174</v>
      </c>
      <c r="J41" s="32" t="s">
        <v>175</v>
      </c>
      <c r="K41" s="6" t="s">
        <v>176</v>
      </c>
      <c r="L41" s="6" t="s">
        <v>177</v>
      </c>
      <c r="M41" s="6" t="s">
        <v>178</v>
      </c>
      <c r="N41" s="6" t="s">
        <v>179</v>
      </c>
      <c r="O41" s="6" t="s">
        <v>180</v>
      </c>
      <c r="P41" s="33" t="s">
        <v>182</v>
      </c>
      <c r="Q41" s="33" t="s">
        <v>183</v>
      </c>
      <c r="R41" s="33" t="s">
        <v>469</v>
      </c>
      <c r="S41" s="33" t="s">
        <v>20</v>
      </c>
      <c r="T41" s="7" t="s">
        <v>184</v>
      </c>
      <c r="U41" s="6" t="s">
        <v>185</v>
      </c>
      <c r="V41" s="7" t="s">
        <v>186</v>
      </c>
      <c r="W41" s="6" t="s">
        <v>23</v>
      </c>
      <c r="X41" s="6" t="s">
        <v>24</v>
      </c>
      <c r="Y41" s="6" t="s">
        <v>187</v>
      </c>
      <c r="Z41" s="6" t="s">
        <v>188</v>
      </c>
      <c r="AA41" s="6" t="s">
        <v>189</v>
      </c>
      <c r="AB41" s="42" t="s">
        <v>190</v>
      </c>
      <c r="AC41" s="6" t="s">
        <v>184</v>
      </c>
      <c r="AD41" s="6" t="s">
        <v>185</v>
      </c>
      <c r="AE41" s="6" t="s">
        <v>186</v>
      </c>
      <c r="AF41" s="6" t="s">
        <v>23</v>
      </c>
      <c r="AG41" s="6" t="s">
        <v>24</v>
      </c>
      <c r="AH41" s="6" t="s">
        <v>187</v>
      </c>
      <c r="AI41" s="6" t="s">
        <v>188</v>
      </c>
      <c r="AJ41" s="6" t="s">
        <v>411</v>
      </c>
      <c r="AK41" s="6" t="s">
        <v>189</v>
      </c>
      <c r="AL41" s="6" t="s">
        <v>190</v>
      </c>
      <c r="AM41" s="6" t="s">
        <v>412</v>
      </c>
      <c r="AN41" s="6" t="s">
        <v>192</v>
      </c>
      <c r="AO41" s="6" t="s">
        <v>193</v>
      </c>
      <c r="AP41" s="6" t="s">
        <v>194</v>
      </c>
      <c r="AQ41" s="6" t="s">
        <v>195</v>
      </c>
      <c r="AR41" s="6" t="s">
        <v>196</v>
      </c>
      <c r="AS41" s="6" t="s">
        <v>197</v>
      </c>
      <c r="AT41" s="6" t="s">
        <v>198</v>
      </c>
      <c r="AU41" s="6" t="s">
        <v>199</v>
      </c>
      <c r="AV41" s="6" t="s">
        <v>200</v>
      </c>
      <c r="AW41" s="6" t="s">
        <v>201</v>
      </c>
      <c r="AX41" s="6" t="s">
        <v>202</v>
      </c>
      <c r="AY41" s="6" t="s">
        <v>203</v>
      </c>
      <c r="AZ41" s="6" t="s">
        <v>204</v>
      </c>
      <c r="BA41" s="6" t="s">
        <v>205</v>
      </c>
      <c r="BB41" s="45"/>
      <c r="BC41" s="46" t="s">
        <v>206</v>
      </c>
      <c r="BD41" s="47" t="s">
        <v>207</v>
      </c>
      <c r="BE41" s="6" t="s">
        <v>208</v>
      </c>
      <c r="BF41" s="61" t="s">
        <v>413</v>
      </c>
      <c r="BG41" s="6" t="s">
        <v>205</v>
      </c>
      <c r="BH41" s="6" t="s">
        <v>209</v>
      </c>
      <c r="BI41" s="6" t="s">
        <v>210</v>
      </c>
      <c r="BJ41" s="6" t="s">
        <v>211</v>
      </c>
      <c r="BL41" s="62" t="s">
        <v>212</v>
      </c>
      <c r="BM41" s="62" t="s">
        <v>213</v>
      </c>
      <c r="BN41" s="62" t="s">
        <v>109</v>
      </c>
      <c r="BO41" s="62" t="s">
        <v>214</v>
      </c>
      <c r="BP41" s="62" t="s">
        <v>215</v>
      </c>
      <c r="BQ41" s="62" t="s">
        <v>216</v>
      </c>
      <c r="BR41" s="62" t="s">
        <v>217</v>
      </c>
      <c r="BS41" s="78" t="s">
        <v>218</v>
      </c>
      <c r="BT41" s="62" t="s">
        <v>219</v>
      </c>
      <c r="BU41" s="62" t="s">
        <v>220</v>
      </c>
      <c r="BV41" s="62" t="s">
        <v>221</v>
      </c>
      <c r="BW41" s="62" t="s">
        <v>220</v>
      </c>
      <c r="BX41" s="62" t="s">
        <v>218</v>
      </c>
      <c r="BY41" s="79" t="s">
        <v>222</v>
      </c>
      <c r="BZ41" s="79" t="s">
        <v>223</v>
      </c>
      <c r="CA41" s="79" t="s">
        <v>224</v>
      </c>
      <c r="CB41" s="79" t="s">
        <v>225</v>
      </c>
      <c r="CC41" s="79"/>
    </row>
    <row r="42" spans="1:81" s="2" customFormat="1">
      <c r="A42" s="16">
        <v>3</v>
      </c>
      <c r="B42" s="9" t="s">
        <v>538</v>
      </c>
      <c r="C42" s="16" t="s">
        <v>539</v>
      </c>
      <c r="D42" s="10" t="s">
        <v>540</v>
      </c>
      <c r="E42" s="11" t="s">
        <v>540</v>
      </c>
      <c r="F42" s="11" t="s">
        <v>130</v>
      </c>
      <c r="G42" s="11" t="s">
        <v>541</v>
      </c>
      <c r="H42" s="12">
        <v>101842252352</v>
      </c>
      <c r="I42" s="16">
        <v>7011527202</v>
      </c>
      <c r="J42" s="34">
        <v>45327</v>
      </c>
      <c r="K42" s="16" t="s">
        <v>418</v>
      </c>
      <c r="L42" s="16" t="s">
        <v>230</v>
      </c>
      <c r="M42" s="16" t="s">
        <v>231</v>
      </c>
      <c r="N42" s="16" t="s">
        <v>4</v>
      </c>
      <c r="O42" s="16" t="s">
        <v>232</v>
      </c>
      <c r="P42" s="16">
        <v>31</v>
      </c>
      <c r="Q42" s="16">
        <v>8</v>
      </c>
      <c r="R42" s="16">
        <v>1</v>
      </c>
      <c r="S42" s="16">
        <v>0</v>
      </c>
      <c r="T42" s="16">
        <v>12531</v>
      </c>
      <c r="U42" s="16">
        <v>0</v>
      </c>
      <c r="V42" s="16">
        <f>T42+U42</f>
        <v>12531</v>
      </c>
      <c r="W42" s="16">
        <v>281</v>
      </c>
      <c r="X42" s="16">
        <v>0</v>
      </c>
      <c r="Y42" s="16">
        <v>0</v>
      </c>
      <c r="Z42" s="16">
        <v>1566</v>
      </c>
      <c r="AA42" s="16">
        <v>1044</v>
      </c>
      <c r="AB42" s="16">
        <f>SUM(V42:AA42)</f>
        <v>15422</v>
      </c>
      <c r="AC42" s="16">
        <f>ROUND(T42/P42*Q42,0)</f>
        <v>3234</v>
      </c>
      <c r="AD42" s="16">
        <f>ROUND(U42/P42*Q42,0)</f>
        <v>0</v>
      </c>
      <c r="AE42" s="16">
        <f>AC42+AD42</f>
        <v>3234</v>
      </c>
      <c r="AF42" s="16">
        <f>ROUND(W42/P42*Q42,0)</f>
        <v>73</v>
      </c>
      <c r="AG42" s="16">
        <f>ROUND(X42/P42*Q42,0)</f>
        <v>0</v>
      </c>
      <c r="AH42" s="16">
        <f>ROUND(Y42/P42*Q42,0)</f>
        <v>0</v>
      </c>
      <c r="AI42" s="16">
        <f>ROUND(Z42/P42*Q42,0)</f>
        <v>404</v>
      </c>
      <c r="AJ42" s="16">
        <f>ROUND((T42/26)/4*S42,0)</f>
        <v>0</v>
      </c>
      <c r="AK42" s="16">
        <f>ROUND(AA42/P42*Q42,0)</f>
        <v>269</v>
      </c>
      <c r="AL42" s="16">
        <f>ROUND(SUM(AE42:AK42),0)</f>
        <v>3980</v>
      </c>
      <c r="AM42" s="16">
        <f>ROUND(AB42/P42*R42,0)</f>
        <v>497</v>
      </c>
      <c r="AN42" s="16">
        <f>ROUND(IF(V42&gt;15000,IF(Q42&lt;P42,ROUND(15000/P42*Q42,0),15000),IF(AE42&gt;V42,V42,AE42)),0)</f>
        <v>3234</v>
      </c>
      <c r="AO42" s="16">
        <f>ROUND(AN42*13%,0)</f>
        <v>420</v>
      </c>
      <c r="AP42" s="40">
        <f>IF(AB42&gt;=21000,0,AL42*3.25%)</f>
        <v>129.35</v>
      </c>
      <c r="AQ42" s="16">
        <v>5.83</v>
      </c>
      <c r="AR42" s="40">
        <f>SUM(AO42:AQ42)</f>
        <v>555.17999999999995</v>
      </c>
      <c r="AS42" s="40">
        <f>AL42+AR42</f>
        <v>4535.18</v>
      </c>
      <c r="AT42" s="16"/>
      <c r="AU42" s="40">
        <f>AS42+AT42</f>
        <v>4535.18</v>
      </c>
      <c r="AV42" s="16">
        <f>ROUND(AN42*12%,0)</f>
        <v>388</v>
      </c>
      <c r="AW42" s="16">
        <f>IF(AB42&gt;21000,0,CEILING(AL42*0.75%,1))</f>
        <v>30</v>
      </c>
      <c r="AX42" s="53">
        <v>2.5</v>
      </c>
      <c r="AY42" s="16">
        <f>IF(AL42&gt;20000,200,IF(AL42&gt;15000,150,0))</f>
        <v>0</v>
      </c>
      <c r="AZ42" s="16">
        <f>SUM(AV42:AY42)</f>
        <v>420.5</v>
      </c>
      <c r="BA42" s="16">
        <f>ROUND(AL42-AZ42+AM42,0)</f>
        <v>4057</v>
      </c>
      <c r="BC42" s="10" t="s">
        <v>540</v>
      </c>
      <c r="BD42" s="270" t="s">
        <v>542</v>
      </c>
      <c r="BE42" s="65" t="s">
        <v>543</v>
      </c>
      <c r="BF42" s="66" t="s">
        <v>544</v>
      </c>
      <c r="BG42" s="16">
        <f>BA42</f>
        <v>4057</v>
      </c>
      <c r="BH42" s="43">
        <v>95</v>
      </c>
      <c r="BI42" s="40">
        <f>ROUND(BG42-BH42,0)</f>
        <v>3962</v>
      </c>
      <c r="BJ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 t="s">
        <v>421</v>
      </c>
      <c r="CB42" s="16" t="s">
        <v>545</v>
      </c>
      <c r="CC42" s="16"/>
    </row>
    <row r="44" spans="1:81">
      <c r="A44" t="s">
        <v>546</v>
      </c>
      <c r="B44" t="s">
        <v>547</v>
      </c>
    </row>
    <row r="45" spans="1:81" s="1" customFormat="1" ht="61.5" customHeight="1">
      <c r="A45" s="6" t="s">
        <v>168</v>
      </c>
      <c r="B45" s="6" t="s">
        <v>169</v>
      </c>
      <c r="C45" s="6" t="s">
        <v>170</v>
      </c>
      <c r="D45" s="6" t="s">
        <v>171</v>
      </c>
      <c r="E45" s="6" t="s">
        <v>409</v>
      </c>
      <c r="F45" s="6" t="s">
        <v>109</v>
      </c>
      <c r="G45" s="6" t="s">
        <v>410</v>
      </c>
      <c r="H45" s="7" t="s">
        <v>173</v>
      </c>
      <c r="I45" s="6" t="s">
        <v>174</v>
      </c>
      <c r="J45" s="32" t="s">
        <v>175</v>
      </c>
      <c r="K45" s="6" t="s">
        <v>176</v>
      </c>
      <c r="L45" s="6" t="s">
        <v>177</v>
      </c>
      <c r="M45" s="6" t="s">
        <v>178</v>
      </c>
      <c r="N45" s="6" t="s">
        <v>179</v>
      </c>
      <c r="O45" s="6" t="s">
        <v>180</v>
      </c>
      <c r="P45" s="33" t="s">
        <v>182</v>
      </c>
      <c r="Q45" s="33" t="s">
        <v>183</v>
      </c>
      <c r="R45" s="33" t="s">
        <v>469</v>
      </c>
      <c r="S45" s="33" t="s">
        <v>20</v>
      </c>
      <c r="T45" s="7" t="s">
        <v>184</v>
      </c>
      <c r="U45" s="6" t="s">
        <v>185</v>
      </c>
      <c r="V45" s="7" t="s">
        <v>186</v>
      </c>
      <c r="W45" s="6" t="s">
        <v>23</v>
      </c>
      <c r="X45" s="6" t="s">
        <v>24</v>
      </c>
      <c r="Y45" s="6" t="s">
        <v>187</v>
      </c>
      <c r="Z45" s="6" t="s">
        <v>188</v>
      </c>
      <c r="AA45" s="6" t="s">
        <v>189</v>
      </c>
      <c r="AB45" s="42" t="s">
        <v>190</v>
      </c>
      <c r="AC45" s="6" t="s">
        <v>184</v>
      </c>
      <c r="AD45" s="6" t="s">
        <v>185</v>
      </c>
      <c r="AE45" s="6" t="s">
        <v>186</v>
      </c>
      <c r="AF45" s="6" t="s">
        <v>23</v>
      </c>
      <c r="AG45" s="6" t="s">
        <v>24</v>
      </c>
      <c r="AH45" s="6" t="s">
        <v>187</v>
      </c>
      <c r="AI45" s="6" t="s">
        <v>188</v>
      </c>
      <c r="AJ45" s="6" t="s">
        <v>411</v>
      </c>
      <c r="AK45" s="6" t="s">
        <v>189</v>
      </c>
      <c r="AL45" s="6" t="s">
        <v>190</v>
      </c>
      <c r="AM45" s="6" t="s">
        <v>412</v>
      </c>
      <c r="AN45" s="6" t="s">
        <v>192</v>
      </c>
      <c r="AO45" s="6" t="s">
        <v>193</v>
      </c>
      <c r="AP45" s="6" t="s">
        <v>194</v>
      </c>
      <c r="AQ45" s="6" t="s">
        <v>195</v>
      </c>
      <c r="AR45" s="6" t="s">
        <v>196</v>
      </c>
      <c r="AS45" s="6" t="s">
        <v>197</v>
      </c>
      <c r="AT45" s="6" t="s">
        <v>198</v>
      </c>
      <c r="AU45" s="6" t="s">
        <v>199</v>
      </c>
      <c r="AV45" s="6" t="s">
        <v>200</v>
      </c>
      <c r="AW45" s="6" t="s">
        <v>201</v>
      </c>
      <c r="AX45" s="6" t="s">
        <v>202</v>
      </c>
      <c r="AY45" s="6" t="s">
        <v>203</v>
      </c>
      <c r="AZ45" s="6" t="s">
        <v>204</v>
      </c>
      <c r="BA45" s="6" t="s">
        <v>205</v>
      </c>
      <c r="BB45" s="45"/>
      <c r="BC45" s="46" t="s">
        <v>206</v>
      </c>
      <c r="BD45" s="47" t="s">
        <v>207</v>
      </c>
      <c r="BE45" s="46" t="s">
        <v>208</v>
      </c>
      <c r="BF45" s="61" t="s">
        <v>413</v>
      </c>
      <c r="BG45" s="6" t="s">
        <v>205</v>
      </c>
      <c r="BH45" s="6" t="s">
        <v>209</v>
      </c>
      <c r="BI45" s="6" t="s">
        <v>210</v>
      </c>
      <c r="BJ45" s="6" t="s">
        <v>211</v>
      </c>
      <c r="BL45" s="62" t="s">
        <v>212</v>
      </c>
      <c r="BM45" s="62" t="s">
        <v>213</v>
      </c>
      <c r="BN45" s="62" t="s">
        <v>109</v>
      </c>
      <c r="BO45" s="62" t="s">
        <v>214</v>
      </c>
      <c r="BP45" s="62" t="s">
        <v>215</v>
      </c>
      <c r="BQ45" s="62" t="s">
        <v>216</v>
      </c>
      <c r="BR45" s="62" t="s">
        <v>217</v>
      </c>
      <c r="BS45" s="78" t="s">
        <v>218</v>
      </c>
      <c r="BT45" s="62" t="s">
        <v>219</v>
      </c>
      <c r="BU45" s="62" t="s">
        <v>220</v>
      </c>
      <c r="BV45" s="62" t="s">
        <v>221</v>
      </c>
      <c r="BW45" s="62" t="s">
        <v>220</v>
      </c>
      <c r="BX45" s="62" t="s">
        <v>218</v>
      </c>
      <c r="BY45" s="79" t="s">
        <v>222</v>
      </c>
      <c r="BZ45" s="79" t="s">
        <v>223</v>
      </c>
      <c r="CA45" s="79" t="s">
        <v>224</v>
      </c>
      <c r="CB45" s="79" t="s">
        <v>225</v>
      </c>
      <c r="CC45" s="79"/>
    </row>
    <row r="46" spans="1:81" s="2" customFormat="1">
      <c r="A46" s="16">
        <v>1</v>
      </c>
      <c r="B46" s="9" t="s">
        <v>548</v>
      </c>
      <c r="C46" s="16" t="s">
        <v>549</v>
      </c>
      <c r="D46" s="11" t="s">
        <v>550</v>
      </c>
      <c r="E46" s="11" t="s">
        <v>550</v>
      </c>
      <c r="F46" s="11" t="s">
        <v>130</v>
      </c>
      <c r="G46" s="11" t="s">
        <v>40</v>
      </c>
      <c r="H46" s="12">
        <v>101732547031</v>
      </c>
      <c r="I46" s="39">
        <v>3313172073</v>
      </c>
      <c r="J46" s="34">
        <v>45327</v>
      </c>
      <c r="K46" s="16" t="s">
        <v>418</v>
      </c>
      <c r="L46" s="16" t="s">
        <v>230</v>
      </c>
      <c r="M46" s="16" t="s">
        <v>231</v>
      </c>
      <c r="N46" s="16" t="s">
        <v>5</v>
      </c>
      <c r="O46" s="16" t="s">
        <v>439</v>
      </c>
      <c r="P46" s="16">
        <v>31</v>
      </c>
      <c r="Q46" s="16">
        <v>21</v>
      </c>
      <c r="R46" s="16">
        <v>1</v>
      </c>
      <c r="S46" s="16">
        <v>0</v>
      </c>
      <c r="T46" s="16">
        <v>13151</v>
      </c>
      <c r="U46" s="16">
        <v>0</v>
      </c>
      <c r="V46" s="16">
        <f>T46+U46</f>
        <v>13151</v>
      </c>
      <c r="W46" s="16">
        <v>2127</v>
      </c>
      <c r="X46" s="16">
        <v>0</v>
      </c>
      <c r="Y46" s="16">
        <v>0</v>
      </c>
      <c r="Z46" s="16">
        <v>1644</v>
      </c>
      <c r="AA46" s="16">
        <v>1095</v>
      </c>
      <c r="AB46" s="16">
        <f>SUM(V46:AA46)</f>
        <v>18017</v>
      </c>
      <c r="AC46" s="16">
        <f>ROUND(T46/P46*Q46,0)</f>
        <v>8909</v>
      </c>
      <c r="AD46" s="16">
        <f>ROUND(U46/P46*Q46,0)</f>
        <v>0</v>
      </c>
      <c r="AE46" s="16">
        <f>AC46+AD46</f>
        <v>8909</v>
      </c>
      <c r="AF46" s="16">
        <f>ROUND(W46/P46*Q46,0)</f>
        <v>1441</v>
      </c>
      <c r="AG46" s="16">
        <f>ROUND(X46/P46*Q46,0)</f>
        <v>0</v>
      </c>
      <c r="AH46" s="16">
        <f>ROUND(Y46/P46*Q46,0)</f>
        <v>0</v>
      </c>
      <c r="AI46" s="16">
        <f>ROUND(Z46/P46*Q46,0)</f>
        <v>1114</v>
      </c>
      <c r="AJ46" s="16">
        <f>ROUND((T46/26)/4*S46,0)</f>
        <v>0</v>
      </c>
      <c r="AK46" s="16">
        <f>ROUND(AA46/P46*Q46,0)</f>
        <v>742</v>
      </c>
      <c r="AL46" s="16">
        <f>ROUND(SUM(AE46:AK46),0)</f>
        <v>12206</v>
      </c>
      <c r="AM46" s="16">
        <f>ROUND(AB46/P46*R46,0)</f>
        <v>581</v>
      </c>
      <c r="AN46" s="16">
        <f>ROUND(IF(V46&gt;15000,IF(Q46&lt;P46,ROUND(15000/P46*Q46,0),15000),IF(AE46&gt;V46,V46,AE46)),0)</f>
        <v>8909</v>
      </c>
      <c r="AO46" s="16">
        <f>ROUND(AN46*13%,0)</f>
        <v>1158</v>
      </c>
      <c r="AP46" s="40">
        <f>IF(AB46&gt;=21000,0,AL46*3.25%)</f>
        <v>396.69499999999999</v>
      </c>
      <c r="AQ46" s="16">
        <v>5.83</v>
      </c>
      <c r="AR46" s="40">
        <f>SUM(AO46:AQ46)</f>
        <v>1560.5250000000001</v>
      </c>
      <c r="AS46" s="40">
        <f>AL46+AR46</f>
        <v>13766.525</v>
      </c>
      <c r="AT46" s="16"/>
      <c r="AU46" s="40">
        <f>AS46+AT46</f>
        <v>13766.525</v>
      </c>
      <c r="AV46" s="16">
        <f>ROUND(AN46*12%,0)</f>
        <v>1069</v>
      </c>
      <c r="AW46" s="16">
        <f>IF(AB46&gt;21000,0,CEILING(AL46*0.75%,1))</f>
        <v>92</v>
      </c>
      <c r="AX46" s="53">
        <v>2.5</v>
      </c>
      <c r="AY46" s="16">
        <f>IF(AL46&gt;20000,200,IF(AL46&gt;15000,150,0))</f>
        <v>0</v>
      </c>
      <c r="AZ46" s="16">
        <f>SUM(AV46:AY46)</f>
        <v>1163.5</v>
      </c>
      <c r="BA46" s="16">
        <f>ROUND(AL46-AZ46+AM46,0)</f>
        <v>11624</v>
      </c>
      <c r="BC46" s="11" t="s">
        <v>550</v>
      </c>
      <c r="BD46" s="270" t="s">
        <v>38</v>
      </c>
      <c r="BE46" s="8" t="s">
        <v>433</v>
      </c>
      <c r="BF46" s="75" t="s">
        <v>427</v>
      </c>
      <c r="BG46" s="16">
        <f>BA46</f>
        <v>11624</v>
      </c>
      <c r="BH46" s="43"/>
      <c r="BI46" s="40">
        <f>ROUND(BG46-BH46,0)</f>
        <v>11624</v>
      </c>
      <c r="BJ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 t="s">
        <v>421</v>
      </c>
      <c r="CB46" s="16" t="s">
        <v>422</v>
      </c>
      <c r="CC46" s="16"/>
    </row>
    <row r="48" spans="1:81">
      <c r="A48" t="s">
        <v>551</v>
      </c>
      <c r="B48" t="s">
        <v>552</v>
      </c>
    </row>
    <row r="49" spans="1:81" s="1" customFormat="1" ht="61.5" customHeight="1">
      <c r="A49" s="6" t="s">
        <v>168</v>
      </c>
      <c r="B49" s="6" t="s">
        <v>169</v>
      </c>
      <c r="C49" s="6" t="s">
        <v>170</v>
      </c>
      <c r="D49" s="6" t="s">
        <v>171</v>
      </c>
      <c r="E49" s="6" t="s">
        <v>409</v>
      </c>
      <c r="F49" s="6" t="s">
        <v>109</v>
      </c>
      <c r="G49" s="6" t="s">
        <v>410</v>
      </c>
      <c r="H49" s="7" t="s">
        <v>173</v>
      </c>
      <c r="I49" s="6" t="s">
        <v>174</v>
      </c>
      <c r="J49" s="32" t="s">
        <v>175</v>
      </c>
      <c r="K49" s="6" t="s">
        <v>176</v>
      </c>
      <c r="L49" s="6" t="s">
        <v>177</v>
      </c>
      <c r="M49" s="6" t="s">
        <v>178</v>
      </c>
      <c r="N49" s="6" t="s">
        <v>179</v>
      </c>
      <c r="O49" s="6" t="s">
        <v>180</v>
      </c>
      <c r="P49" s="33" t="s">
        <v>182</v>
      </c>
      <c r="Q49" s="33" t="s">
        <v>183</v>
      </c>
      <c r="R49" s="33" t="s">
        <v>469</v>
      </c>
      <c r="S49" s="33" t="s">
        <v>20</v>
      </c>
      <c r="T49" s="7" t="s">
        <v>184</v>
      </c>
      <c r="U49" s="6" t="s">
        <v>185</v>
      </c>
      <c r="V49" s="7" t="s">
        <v>186</v>
      </c>
      <c r="W49" s="6" t="s">
        <v>23</v>
      </c>
      <c r="X49" s="6" t="s">
        <v>24</v>
      </c>
      <c r="Y49" s="6" t="s">
        <v>187</v>
      </c>
      <c r="Z49" s="6" t="s">
        <v>188</v>
      </c>
      <c r="AA49" s="6" t="s">
        <v>189</v>
      </c>
      <c r="AB49" s="42" t="s">
        <v>190</v>
      </c>
      <c r="AC49" s="6" t="s">
        <v>184</v>
      </c>
      <c r="AD49" s="6" t="s">
        <v>185</v>
      </c>
      <c r="AE49" s="6" t="s">
        <v>186</v>
      </c>
      <c r="AF49" s="6" t="s">
        <v>23</v>
      </c>
      <c r="AG49" s="6" t="s">
        <v>24</v>
      </c>
      <c r="AH49" s="6" t="s">
        <v>187</v>
      </c>
      <c r="AI49" s="6" t="s">
        <v>188</v>
      </c>
      <c r="AJ49" s="6" t="s">
        <v>411</v>
      </c>
      <c r="AK49" s="6" t="s">
        <v>189</v>
      </c>
      <c r="AL49" s="6" t="s">
        <v>190</v>
      </c>
      <c r="AM49" s="6" t="s">
        <v>412</v>
      </c>
      <c r="AN49" s="6" t="s">
        <v>192</v>
      </c>
      <c r="AO49" s="6" t="s">
        <v>193</v>
      </c>
      <c r="AP49" s="6" t="s">
        <v>194</v>
      </c>
      <c r="AQ49" s="6" t="s">
        <v>195</v>
      </c>
      <c r="AR49" s="6" t="s">
        <v>196</v>
      </c>
      <c r="AS49" s="6" t="s">
        <v>197</v>
      </c>
      <c r="AT49" s="6" t="s">
        <v>198</v>
      </c>
      <c r="AU49" s="6" t="s">
        <v>199</v>
      </c>
      <c r="AV49" s="6" t="s">
        <v>200</v>
      </c>
      <c r="AW49" s="6" t="s">
        <v>201</v>
      </c>
      <c r="AX49" s="6" t="s">
        <v>202</v>
      </c>
      <c r="AY49" s="6" t="s">
        <v>203</v>
      </c>
      <c r="AZ49" s="6" t="s">
        <v>204</v>
      </c>
      <c r="BA49" s="6" t="s">
        <v>205</v>
      </c>
      <c r="BB49" s="45"/>
      <c r="BC49" s="46" t="s">
        <v>206</v>
      </c>
      <c r="BD49" s="47" t="s">
        <v>207</v>
      </c>
      <c r="BE49" s="46" t="s">
        <v>208</v>
      </c>
      <c r="BF49" s="61" t="s">
        <v>413</v>
      </c>
      <c r="BG49" s="6" t="s">
        <v>205</v>
      </c>
      <c r="BH49" s="6" t="s">
        <v>209</v>
      </c>
      <c r="BI49" s="6" t="s">
        <v>210</v>
      </c>
      <c r="BJ49" s="6" t="s">
        <v>211</v>
      </c>
      <c r="BL49" s="62" t="s">
        <v>212</v>
      </c>
      <c r="BM49" s="62" t="s">
        <v>213</v>
      </c>
      <c r="BN49" s="62" t="s">
        <v>109</v>
      </c>
      <c r="BO49" s="62" t="s">
        <v>214</v>
      </c>
      <c r="BP49" s="62" t="s">
        <v>215</v>
      </c>
      <c r="BQ49" s="62" t="s">
        <v>216</v>
      </c>
      <c r="BR49" s="62" t="s">
        <v>217</v>
      </c>
      <c r="BS49" s="78" t="s">
        <v>218</v>
      </c>
      <c r="BT49" s="62" t="s">
        <v>219</v>
      </c>
      <c r="BU49" s="62" t="s">
        <v>220</v>
      </c>
      <c r="BV49" s="62" t="s">
        <v>221</v>
      </c>
      <c r="BW49" s="62" t="s">
        <v>220</v>
      </c>
      <c r="BX49" s="62" t="s">
        <v>218</v>
      </c>
      <c r="BY49" s="79" t="s">
        <v>222</v>
      </c>
      <c r="BZ49" s="79" t="s">
        <v>223</v>
      </c>
      <c r="CA49" s="79" t="s">
        <v>224</v>
      </c>
      <c r="CB49" s="79" t="s">
        <v>225</v>
      </c>
      <c r="CC49" s="79"/>
    </row>
    <row r="50" spans="1:81" s="2" customFormat="1" ht="15.75">
      <c r="A50" s="16">
        <v>9</v>
      </c>
      <c r="B50" s="9" t="s">
        <v>553</v>
      </c>
      <c r="C50" s="8" t="s">
        <v>554</v>
      </c>
      <c r="D50" s="15" t="s">
        <v>555</v>
      </c>
      <c r="E50" s="11" t="s">
        <v>556</v>
      </c>
      <c r="F50" s="11" t="s">
        <v>130</v>
      </c>
      <c r="G50" s="30" t="s">
        <v>82</v>
      </c>
      <c r="H50" s="31">
        <v>101832305575</v>
      </c>
      <c r="I50" s="16">
        <v>7011707530</v>
      </c>
      <c r="J50" s="34" t="s">
        <v>85</v>
      </c>
      <c r="K50" s="16" t="s">
        <v>418</v>
      </c>
      <c r="L50" s="16" t="s">
        <v>230</v>
      </c>
      <c r="M50" s="16" t="s">
        <v>231</v>
      </c>
      <c r="N50" s="15" t="s">
        <v>4</v>
      </c>
      <c r="O50" s="16" t="s">
        <v>232</v>
      </c>
      <c r="P50" s="16">
        <v>28</v>
      </c>
      <c r="Q50" s="16">
        <v>3</v>
      </c>
      <c r="R50" s="16">
        <v>0</v>
      </c>
      <c r="S50" s="16">
        <v>0</v>
      </c>
      <c r="T50" s="16">
        <v>12531</v>
      </c>
      <c r="U50" s="16">
        <v>0</v>
      </c>
      <c r="V50" s="16">
        <f>T50+U50</f>
        <v>12531</v>
      </c>
      <c r="W50" s="16">
        <v>281</v>
      </c>
      <c r="X50" s="16">
        <v>0</v>
      </c>
      <c r="Y50" s="16">
        <v>0</v>
      </c>
      <c r="Z50" s="16">
        <v>1566</v>
      </c>
      <c r="AA50" s="16">
        <v>1044</v>
      </c>
      <c r="AB50" s="40">
        <f>SUM(V50:AA50)</f>
        <v>15422</v>
      </c>
      <c r="AC50" s="16">
        <f>ROUND(T50/P50*Q50,0)</f>
        <v>1343</v>
      </c>
      <c r="AD50" s="16">
        <f>ROUND(U50/P50*Q50,0)</f>
        <v>0</v>
      </c>
      <c r="AE50" s="16">
        <f>AC50+AD50</f>
        <v>1343</v>
      </c>
      <c r="AF50" s="16">
        <f>ROUND(W50/P50*Q50,0)</f>
        <v>30</v>
      </c>
      <c r="AG50" s="16">
        <f>ROUND(X50/P50*Q50,0)</f>
        <v>0</v>
      </c>
      <c r="AH50" s="16">
        <f>ROUND(Y50/P50*Q50,0)</f>
        <v>0</v>
      </c>
      <c r="AI50" s="16">
        <f>ROUND(Z50/P50*Q50,0)</f>
        <v>168</v>
      </c>
      <c r="AJ50" s="16">
        <f>ROUND((T50/26)/4*S50,0)</f>
        <v>0</v>
      </c>
      <c r="AK50" s="16">
        <f>ROUND(AA50/P50*Q50,0)</f>
        <v>112</v>
      </c>
      <c r="AL50" s="16">
        <f>ROUND(SUM(AE50:AK50),0)</f>
        <v>1653</v>
      </c>
      <c r="AM50" s="16">
        <f>ROUND(AB50/P50*R50,0)</f>
        <v>0</v>
      </c>
      <c r="AN50" s="16">
        <f>ROUND(IF(V50&gt;15000,IF(Q50&lt;P50,ROUND(15000/P50*Q50,0),15000),IF(AE50&gt;V50,V50,AE50)),0)</f>
        <v>1343</v>
      </c>
      <c r="AO50" s="16">
        <f>ROUND(AN50*13%,0)</f>
        <v>175</v>
      </c>
      <c r="AP50" s="40">
        <f>IF(AB50&gt;=21000,0,AL50*3.25%)</f>
        <v>53.722499999999997</v>
      </c>
      <c r="AQ50" s="16">
        <v>5.83</v>
      </c>
      <c r="AR50" s="40">
        <f>SUM(AO50:AQ50)</f>
        <v>234.55250000000001</v>
      </c>
      <c r="AS50" s="40">
        <f>AL50+AR50</f>
        <v>1887.5525</v>
      </c>
      <c r="AT50" s="16"/>
      <c r="AU50" s="40">
        <f>AS50+AT50</f>
        <v>1887.5525</v>
      </c>
      <c r="AV50" s="16">
        <f>ROUND(AN50*12%,0)</f>
        <v>161</v>
      </c>
      <c r="AW50" s="16">
        <f>IF(AB50&gt;21000,0,CEILING(AL50*0.75%,1))</f>
        <v>13</v>
      </c>
      <c r="AX50" s="53">
        <v>2.5</v>
      </c>
      <c r="AY50" s="16">
        <f>IF(AL50&gt;20000,200,IF(AL50&gt;15000,150,0))</f>
        <v>0</v>
      </c>
      <c r="AZ50" s="16">
        <f>SUM(AV50:AY50)</f>
        <v>176.5</v>
      </c>
      <c r="BA50" s="16">
        <f>ROUND(AL50-AZ50+AM50,0)</f>
        <v>1477</v>
      </c>
      <c r="BC50" s="15" t="s">
        <v>519</v>
      </c>
      <c r="BD50" s="59">
        <v>42398161315</v>
      </c>
      <c r="BE50" s="76" t="s">
        <v>557</v>
      </c>
      <c r="BF50" s="76" t="s">
        <v>427</v>
      </c>
      <c r="BG50" s="16">
        <f>BA50</f>
        <v>1477</v>
      </c>
      <c r="BH50" s="43"/>
      <c r="BI50" s="40">
        <f>ROUND(BG50-BH50,0)</f>
        <v>1477</v>
      </c>
      <c r="BJ50" s="70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</row>
    <row r="51" spans="1:81" s="2" customFormat="1" ht="15.75">
      <c r="A51" s="16">
        <v>10</v>
      </c>
      <c r="B51" s="9" t="s">
        <v>558</v>
      </c>
      <c r="C51" s="8" t="s">
        <v>532</v>
      </c>
      <c r="D51" s="15" t="s">
        <v>533</v>
      </c>
      <c r="E51" s="11" t="s">
        <v>533</v>
      </c>
      <c r="F51" s="11" t="s">
        <v>130</v>
      </c>
      <c r="G51" s="11" t="s">
        <v>87</v>
      </c>
      <c r="H51" s="12">
        <v>102123677383</v>
      </c>
      <c r="I51" s="16">
        <v>7011652406</v>
      </c>
      <c r="J51" s="37">
        <v>45528</v>
      </c>
      <c r="K51" s="16" t="s">
        <v>418</v>
      </c>
      <c r="L51" s="16" t="s">
        <v>230</v>
      </c>
      <c r="M51" s="16" t="s">
        <v>231</v>
      </c>
      <c r="N51" s="15" t="s">
        <v>4</v>
      </c>
      <c r="O51" s="16" t="s">
        <v>232</v>
      </c>
      <c r="P51" s="16">
        <v>28</v>
      </c>
      <c r="Q51" s="16">
        <v>28</v>
      </c>
      <c r="R51" s="16">
        <v>0</v>
      </c>
      <c r="S51" s="16">
        <v>0</v>
      </c>
      <c r="T51" s="16">
        <v>12531</v>
      </c>
      <c r="U51" s="16">
        <v>0</v>
      </c>
      <c r="V51" s="16">
        <f>T51+U51</f>
        <v>12531</v>
      </c>
      <c r="W51" s="16">
        <v>281</v>
      </c>
      <c r="X51" s="16">
        <v>0</v>
      </c>
      <c r="Y51" s="16">
        <v>0</v>
      </c>
      <c r="Z51" s="16">
        <v>1566</v>
      </c>
      <c r="AA51" s="16">
        <v>1044</v>
      </c>
      <c r="AB51" s="40">
        <f>SUM(V51:AA51)</f>
        <v>15422</v>
      </c>
      <c r="AC51" s="16">
        <f>ROUND(T51/P51*Q51,0)</f>
        <v>12531</v>
      </c>
      <c r="AD51" s="16">
        <f>ROUND(U51/P51*Q51,0)</f>
        <v>0</v>
      </c>
      <c r="AE51" s="16">
        <f>AC51+AD51</f>
        <v>12531</v>
      </c>
      <c r="AF51" s="16">
        <f>ROUND(W51/P51*Q51,0)</f>
        <v>281</v>
      </c>
      <c r="AG51" s="16">
        <f>ROUND(X51/P51*Q51,0)</f>
        <v>0</v>
      </c>
      <c r="AH51" s="16">
        <f>ROUND(Y51/P51*Q51,0)</f>
        <v>0</v>
      </c>
      <c r="AI51" s="16">
        <f>ROUND(Z51/P51*Q51,0)</f>
        <v>1566</v>
      </c>
      <c r="AJ51" s="16">
        <f>ROUND((T51/26)/4*S51,0)</f>
        <v>0</v>
      </c>
      <c r="AK51" s="16">
        <f>ROUND(AA51/P51*Q51,0)</f>
        <v>1044</v>
      </c>
      <c r="AL51" s="16">
        <f>ROUND(SUM(AE51:AK51),0)</f>
        <v>15422</v>
      </c>
      <c r="AM51" s="16">
        <f>ROUND(AB51/P51*R51,0)</f>
        <v>0</v>
      </c>
      <c r="AN51" s="16">
        <f>ROUND(IF(V51&gt;15000,IF(Q51&lt;P51,ROUND(15000/P51*Q51,0),15000),IF(AE51&gt;V51,V51,AE51)),0)</f>
        <v>12531</v>
      </c>
      <c r="AO51" s="16">
        <f>ROUND(AN51*13%,0)</f>
        <v>1629</v>
      </c>
      <c r="AP51" s="40">
        <f>IF(AB51&gt;=21000,0,AL51*3.25%)</f>
        <v>501.21499999999997</v>
      </c>
      <c r="AQ51" s="16">
        <v>5.83</v>
      </c>
      <c r="AR51" s="40">
        <f>SUM(AO51:AQ51)</f>
        <v>2136.0450000000001</v>
      </c>
      <c r="AS51" s="40">
        <f>AL51+AR51</f>
        <v>17558.044999999998</v>
      </c>
      <c r="AT51" s="16"/>
      <c r="AU51" s="40">
        <f>AS51+AT51</f>
        <v>17558.044999999998</v>
      </c>
      <c r="AV51" s="16">
        <f>ROUND(AN51*12%,0)</f>
        <v>1504</v>
      </c>
      <c r="AW51" s="16">
        <f>IF(AB51&gt;21000,0,CEILING(AL51*0.75%,1))</f>
        <v>116</v>
      </c>
      <c r="AX51" s="53">
        <v>2.5</v>
      </c>
      <c r="AY51" s="16">
        <f>IF(AL51&gt;20000,200,IF(AL51&gt;15000,150,0))</f>
        <v>150</v>
      </c>
      <c r="AZ51" s="16">
        <f>SUM(AV51:AY51)</f>
        <v>1772.5</v>
      </c>
      <c r="BA51" s="16">
        <f>ROUND(AL51-AZ51+AM51,0)</f>
        <v>13650</v>
      </c>
      <c r="BC51" s="15" t="s">
        <v>533</v>
      </c>
      <c r="BD51" s="60">
        <v>33426073618</v>
      </c>
      <c r="BE51" s="77" t="s">
        <v>559</v>
      </c>
      <c r="BF51" s="77" t="s">
        <v>427</v>
      </c>
      <c r="BG51" s="16">
        <f>BA51</f>
        <v>13650</v>
      </c>
      <c r="BH51" s="43"/>
      <c r="BI51" s="40">
        <f>ROUND(BG51-BH51,0)</f>
        <v>13650</v>
      </c>
      <c r="BJ51" s="70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</row>
  </sheetData>
  <conditionalFormatting sqref="B26">
    <cfRule type="duplicateValues" dxfId="71" priority="61"/>
  </conditionalFormatting>
  <conditionalFormatting sqref="B27">
    <cfRule type="duplicateValues" dxfId="70" priority="57"/>
  </conditionalFormatting>
  <conditionalFormatting sqref="B30:B31">
    <cfRule type="duplicateValues" dxfId="69" priority="53"/>
  </conditionalFormatting>
  <conditionalFormatting sqref="B32">
    <cfRule type="duplicateValues" dxfId="68" priority="49"/>
  </conditionalFormatting>
  <conditionalFormatting sqref="B33">
    <cfRule type="duplicateValues" dxfId="67" priority="45"/>
  </conditionalFormatting>
  <conditionalFormatting sqref="B37">
    <cfRule type="duplicateValues" dxfId="66" priority="37"/>
  </conditionalFormatting>
  <conditionalFormatting sqref="B38">
    <cfRule type="duplicateValues" dxfId="65" priority="32"/>
  </conditionalFormatting>
  <conditionalFormatting sqref="B42">
    <cfRule type="duplicateValues" dxfId="64" priority="23"/>
  </conditionalFormatting>
  <conditionalFormatting sqref="B46">
    <cfRule type="duplicateValues" dxfId="63" priority="18"/>
  </conditionalFormatting>
  <conditionalFormatting sqref="B50:B51">
    <cfRule type="duplicateValues" dxfId="62" priority="12"/>
  </conditionalFormatting>
  <conditionalFormatting sqref="C2">
    <cfRule type="duplicateValues" dxfId="61" priority="81"/>
  </conditionalFormatting>
  <conditionalFormatting sqref="C15">
    <cfRule type="duplicateValues" dxfId="60" priority="70"/>
  </conditionalFormatting>
  <conditionalFormatting sqref="C26">
    <cfRule type="duplicateValues" dxfId="59" priority="59"/>
  </conditionalFormatting>
  <conditionalFormatting sqref="C27">
    <cfRule type="duplicateValues" dxfId="58" priority="55"/>
  </conditionalFormatting>
  <conditionalFormatting sqref="C30:C31">
    <cfRule type="duplicateValues" dxfId="57" priority="51"/>
  </conditionalFormatting>
  <conditionalFormatting sqref="C32">
    <cfRule type="duplicateValues" dxfId="56" priority="47"/>
  </conditionalFormatting>
  <conditionalFormatting sqref="C33">
    <cfRule type="duplicateValues" dxfId="55" priority="44"/>
  </conditionalFormatting>
  <conditionalFormatting sqref="C36">
    <cfRule type="duplicateValues" dxfId="54" priority="40"/>
  </conditionalFormatting>
  <conditionalFormatting sqref="C37">
    <cfRule type="duplicateValues" dxfId="53" priority="35"/>
  </conditionalFormatting>
  <conditionalFormatting sqref="C38">
    <cfRule type="duplicateValues" dxfId="52" priority="30"/>
  </conditionalFormatting>
  <conditionalFormatting sqref="C41">
    <cfRule type="duplicateValues" dxfId="51" priority="26"/>
  </conditionalFormatting>
  <conditionalFormatting sqref="C42">
    <cfRule type="duplicateValues" dxfId="50" priority="21"/>
  </conditionalFormatting>
  <conditionalFormatting sqref="C45:C46">
    <cfRule type="duplicateValues" dxfId="49" priority="16"/>
  </conditionalFormatting>
  <conditionalFormatting sqref="C49">
    <cfRule type="duplicateValues" dxfId="48" priority="2"/>
  </conditionalFormatting>
  <conditionalFormatting sqref="C50">
    <cfRule type="duplicateValues" dxfId="47" priority="11"/>
  </conditionalFormatting>
  <conditionalFormatting sqref="C51">
    <cfRule type="duplicateValues" dxfId="46" priority="6"/>
  </conditionalFormatting>
  <conditionalFormatting sqref="C2:D2">
    <cfRule type="duplicateValues" dxfId="45" priority="86"/>
  </conditionalFormatting>
  <conditionalFormatting sqref="C15:D15">
    <cfRule type="duplicateValues" dxfId="44" priority="75"/>
  </conditionalFormatting>
  <conditionalFormatting sqref="D2">
    <cfRule type="duplicateValues" dxfId="43" priority="84"/>
  </conditionalFormatting>
  <conditionalFormatting sqref="D7">
    <cfRule type="duplicateValues" dxfId="42" priority="79"/>
  </conditionalFormatting>
  <conditionalFormatting sqref="D8">
    <cfRule type="duplicateValues" dxfId="41" priority="78"/>
  </conditionalFormatting>
  <conditionalFormatting sqref="D9">
    <cfRule type="duplicateValues" dxfId="40" priority="77"/>
  </conditionalFormatting>
  <conditionalFormatting sqref="D12">
    <cfRule type="duplicateValues" dxfId="39" priority="76"/>
  </conditionalFormatting>
  <conditionalFormatting sqref="D15">
    <cfRule type="duplicateValues" dxfId="38" priority="71"/>
  </conditionalFormatting>
  <conditionalFormatting sqref="D16">
    <cfRule type="duplicateValues" dxfId="37" priority="67"/>
  </conditionalFormatting>
  <conditionalFormatting sqref="D21">
    <cfRule type="duplicateValues" dxfId="36" priority="66"/>
  </conditionalFormatting>
  <conditionalFormatting sqref="D22">
    <cfRule type="duplicateValues" dxfId="35" priority="65"/>
  </conditionalFormatting>
  <conditionalFormatting sqref="D25">
    <cfRule type="duplicateValues" dxfId="34" priority="64"/>
  </conditionalFormatting>
  <conditionalFormatting sqref="D26">
    <cfRule type="duplicateValues" dxfId="33" priority="62"/>
  </conditionalFormatting>
  <conditionalFormatting sqref="D27">
    <cfRule type="duplicateValues" dxfId="32" priority="58"/>
  </conditionalFormatting>
  <conditionalFormatting sqref="D30:D31">
    <cfRule type="duplicateValues" dxfId="31" priority="54"/>
  </conditionalFormatting>
  <conditionalFormatting sqref="D32">
    <cfRule type="duplicateValues" dxfId="30" priority="50"/>
  </conditionalFormatting>
  <conditionalFormatting sqref="D33">
    <cfRule type="duplicateValues" dxfId="29" priority="46"/>
  </conditionalFormatting>
  <conditionalFormatting sqref="D36">
    <cfRule type="duplicateValues" dxfId="28" priority="42"/>
  </conditionalFormatting>
  <conditionalFormatting sqref="D37">
    <cfRule type="duplicateValues" dxfId="27" priority="34"/>
  </conditionalFormatting>
  <conditionalFormatting sqref="D38">
    <cfRule type="duplicateValues" dxfId="26" priority="33"/>
  </conditionalFormatting>
  <conditionalFormatting sqref="D41">
    <cfRule type="duplicateValues" dxfId="25" priority="25"/>
  </conditionalFormatting>
  <conditionalFormatting sqref="D42">
    <cfRule type="duplicateValues" dxfId="24" priority="24"/>
  </conditionalFormatting>
  <conditionalFormatting sqref="D45:D46">
    <cfRule type="duplicateValues" dxfId="23" priority="19"/>
  </conditionalFormatting>
  <conditionalFormatting sqref="D49">
    <cfRule type="duplicateValues" dxfId="22" priority="4"/>
  </conditionalFormatting>
  <conditionalFormatting sqref="D50:D51">
    <cfRule type="duplicateValues" dxfId="21" priority="10"/>
  </conditionalFormatting>
  <conditionalFormatting sqref="G2">
    <cfRule type="duplicateValues" dxfId="20" priority="83"/>
  </conditionalFormatting>
  <conditionalFormatting sqref="H15">
    <cfRule type="duplicateValues" dxfId="19" priority="72"/>
  </conditionalFormatting>
  <conditionalFormatting sqref="H45:I46">
    <cfRule type="duplicateValues" dxfId="18" priority="14"/>
  </conditionalFormatting>
  <conditionalFormatting sqref="H49:I49">
    <cfRule type="duplicateValues" dxfId="17" priority="5"/>
  </conditionalFormatting>
  <conditionalFormatting sqref="H50:I51">
    <cfRule type="duplicateValues" dxfId="16" priority="13"/>
  </conditionalFormatting>
  <conditionalFormatting sqref="BC2">
    <cfRule type="duplicateValues" dxfId="15" priority="80"/>
  </conditionalFormatting>
  <conditionalFormatting sqref="BC25">
    <cfRule type="duplicateValues" dxfId="14" priority="63"/>
  </conditionalFormatting>
  <conditionalFormatting sqref="BC26">
    <cfRule type="duplicateValues" dxfId="13" priority="60"/>
  </conditionalFormatting>
  <conditionalFormatting sqref="BC27">
    <cfRule type="duplicateValues" dxfId="12" priority="56"/>
  </conditionalFormatting>
  <conditionalFormatting sqref="BC30:BC31">
    <cfRule type="duplicateValues" dxfId="11" priority="52"/>
  </conditionalFormatting>
  <conditionalFormatting sqref="BC32">
    <cfRule type="duplicateValues" dxfId="10" priority="48"/>
  </conditionalFormatting>
  <conditionalFormatting sqref="BC33">
    <cfRule type="duplicateValues" dxfId="9" priority="43"/>
  </conditionalFormatting>
  <conditionalFormatting sqref="BC36">
    <cfRule type="duplicateValues" dxfId="8" priority="41"/>
  </conditionalFormatting>
  <conditionalFormatting sqref="BC37">
    <cfRule type="duplicateValues" dxfId="7" priority="36"/>
  </conditionalFormatting>
  <conditionalFormatting sqref="BC38">
    <cfRule type="duplicateValues" dxfId="6" priority="31"/>
  </conditionalFormatting>
  <conditionalFormatting sqref="BC41">
    <cfRule type="duplicateValues" dxfId="5" priority="27"/>
  </conditionalFormatting>
  <conditionalFormatting sqref="BC42">
    <cfRule type="duplicateValues" dxfId="4" priority="22"/>
  </conditionalFormatting>
  <conditionalFormatting sqref="BC45:BC46">
    <cfRule type="duplicateValues" dxfId="3" priority="17"/>
  </conditionalFormatting>
  <conditionalFormatting sqref="BC49">
    <cfRule type="duplicateValues" dxfId="2" priority="3"/>
  </conditionalFormatting>
  <conditionalFormatting sqref="BC50:BC51">
    <cfRule type="duplicateValues" dxfId="1" priority="8"/>
  </conditionalFormatting>
  <conditionalFormatting sqref="BD15">
    <cfRule type="duplicateValues" dxfId="0" priority="68"/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PIVOT TABLE</vt:lpstr>
      <vt:lpstr>Payslips </vt:lpstr>
      <vt:lpstr>Attendence</vt:lpstr>
      <vt:lpstr>Wage Sheet</vt:lpstr>
      <vt:lpstr>Pay Slips</vt:lpstr>
      <vt:lpstr>Invoice</vt:lpstr>
      <vt:lpstr>Misc. Invoice</vt:lpstr>
      <vt:lpstr>Left 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Sst_for_You</dc:creator>
  <cp:lastModifiedBy>Ajay Babu Chinnam</cp:lastModifiedBy>
  <cp:lastPrinted>2021-02-27T06:04:00Z</cp:lastPrinted>
  <dcterms:created xsi:type="dcterms:W3CDTF">2019-10-04T05:03:00Z</dcterms:created>
  <dcterms:modified xsi:type="dcterms:W3CDTF">2026-03-30T07:25:55Z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6D850BA260D04E20A8D55D4813AFBBDA_12</vt:lpwstr>
  </property>
  <property fmtid="{D5CDD505-2E9C-101B-9397-08002B2CF9AE}" pid="3" name="KSOProductBuildVer">
    <vt:lpwstr>1033-12.2.0.23196</vt:lpwstr>
  </property>
</Properties>
</file>